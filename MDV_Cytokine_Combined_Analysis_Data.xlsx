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Other computers\Dell Inspiron\Personal Data\Official documents\Projects\UGC Project\Manuscript\"/>
    </mc:Choice>
  </mc:AlternateContent>
  <xr:revisionPtr revIDLastSave="0" documentId="13_ncr:1_{00C1D5AB-605F-4506-A917-F0C00FB319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bined_Data" sheetId="2" r:id="rId1"/>
    <sheet name="Bird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B21" i="3"/>
  <c r="B20" i="3"/>
  <c r="C19" i="3"/>
  <c r="B19" i="3"/>
  <c r="D19" i="3" s="1"/>
  <c r="C16" i="3"/>
  <c r="B15" i="3"/>
  <c r="B14" i="3"/>
  <c r="C10" i="3"/>
  <c r="B9" i="3"/>
  <c r="D9" i="3" s="1"/>
  <c r="B8" i="3"/>
  <c r="C7" i="3"/>
  <c r="B7" i="3"/>
  <c r="D7" i="3" s="1"/>
  <c r="C4" i="3"/>
  <c r="C2" i="3"/>
  <c r="AN47" i="2"/>
  <c r="AM47" i="2"/>
  <c r="AI47" i="2"/>
  <c r="AH47" i="2"/>
  <c r="AD47" i="2"/>
  <c r="AC47" i="2"/>
  <c r="Y47" i="2"/>
  <c r="X47" i="2"/>
  <c r="T47" i="2"/>
  <c r="S47" i="2"/>
  <c r="O47" i="2"/>
  <c r="N47" i="2"/>
  <c r="G47" i="2"/>
  <c r="F47" i="2"/>
  <c r="C24" i="3" s="1"/>
  <c r="AN46" i="2"/>
  <c r="AM46" i="2"/>
  <c r="AI46" i="2"/>
  <c r="AH46" i="2"/>
  <c r="AD46" i="2"/>
  <c r="AC46" i="2"/>
  <c r="Y46" i="2"/>
  <c r="X46" i="2"/>
  <c r="T46" i="2"/>
  <c r="S46" i="2"/>
  <c r="O46" i="2"/>
  <c r="N46" i="2"/>
  <c r="G46" i="2"/>
  <c r="F46" i="2"/>
  <c r="H46" i="2" s="1"/>
  <c r="AN45" i="2"/>
  <c r="AM45" i="2"/>
  <c r="AI45" i="2"/>
  <c r="AH45" i="2"/>
  <c r="AD45" i="2"/>
  <c r="AC45" i="2"/>
  <c r="Y45" i="2"/>
  <c r="X45" i="2"/>
  <c r="T45" i="2"/>
  <c r="S45" i="2"/>
  <c r="O45" i="2"/>
  <c r="N45" i="2"/>
  <c r="G45" i="2"/>
  <c r="F45" i="2"/>
  <c r="C23" i="3" s="1"/>
  <c r="AN44" i="2"/>
  <c r="AM44" i="2"/>
  <c r="AI44" i="2"/>
  <c r="AH44" i="2"/>
  <c r="AD44" i="2"/>
  <c r="AC44" i="2"/>
  <c r="Y44" i="2"/>
  <c r="X44" i="2"/>
  <c r="T44" i="2"/>
  <c r="S44" i="2"/>
  <c r="O44" i="2"/>
  <c r="N44" i="2"/>
  <c r="G44" i="2"/>
  <c r="F44" i="2"/>
  <c r="H44" i="2" s="1"/>
  <c r="AN43" i="2"/>
  <c r="AM43" i="2"/>
  <c r="AI43" i="2"/>
  <c r="AH43" i="2"/>
  <c r="AD43" i="2"/>
  <c r="AC43" i="2"/>
  <c r="Y43" i="2"/>
  <c r="X43" i="2"/>
  <c r="T43" i="2"/>
  <c r="S43" i="2"/>
  <c r="O43" i="2"/>
  <c r="N43" i="2"/>
  <c r="H43" i="2"/>
  <c r="G43" i="2"/>
  <c r="F43" i="2"/>
  <c r="AN42" i="2"/>
  <c r="AM42" i="2"/>
  <c r="AI42" i="2"/>
  <c r="AH42" i="2"/>
  <c r="AD42" i="2"/>
  <c r="AC42" i="2"/>
  <c r="Y42" i="2"/>
  <c r="X42" i="2"/>
  <c r="T42" i="2"/>
  <c r="S42" i="2"/>
  <c r="O42" i="2"/>
  <c r="N42" i="2"/>
  <c r="H42" i="2"/>
  <c r="G42" i="2"/>
  <c r="F42" i="2"/>
  <c r="B22" i="3" s="1"/>
  <c r="D22" i="3" s="1"/>
  <c r="AN41" i="2"/>
  <c r="AM41" i="2"/>
  <c r="AI41" i="2"/>
  <c r="AH41" i="2"/>
  <c r="AD41" i="2"/>
  <c r="AC41" i="2"/>
  <c r="Y41" i="2"/>
  <c r="X41" i="2"/>
  <c r="T41" i="2"/>
  <c r="S41" i="2"/>
  <c r="O41" i="2"/>
  <c r="N41" i="2"/>
  <c r="G41" i="2"/>
  <c r="F41" i="2"/>
  <c r="H41" i="2" s="1"/>
  <c r="AN40" i="2"/>
  <c r="AM40" i="2"/>
  <c r="AI40" i="2"/>
  <c r="AH40" i="2"/>
  <c r="AD40" i="2"/>
  <c r="AC40" i="2"/>
  <c r="Y40" i="2"/>
  <c r="X40" i="2"/>
  <c r="T40" i="2"/>
  <c r="S40" i="2"/>
  <c r="O40" i="2"/>
  <c r="N40" i="2"/>
  <c r="G40" i="2"/>
  <c r="F40" i="2"/>
  <c r="H40" i="2" s="1"/>
  <c r="AN39" i="2"/>
  <c r="AM39" i="2"/>
  <c r="AI39" i="2"/>
  <c r="AH39" i="2"/>
  <c r="AD39" i="2"/>
  <c r="AC39" i="2"/>
  <c r="Y39" i="2"/>
  <c r="X39" i="2"/>
  <c r="T39" i="2"/>
  <c r="S39" i="2"/>
  <c r="O39" i="2"/>
  <c r="N39" i="2"/>
  <c r="G39" i="2"/>
  <c r="F39" i="2"/>
  <c r="H39" i="2" s="1"/>
  <c r="AN38" i="2"/>
  <c r="AM38" i="2"/>
  <c r="AI38" i="2"/>
  <c r="AH38" i="2"/>
  <c r="AD38" i="2"/>
  <c r="AC38" i="2"/>
  <c r="Y38" i="2"/>
  <c r="X38" i="2"/>
  <c r="T38" i="2"/>
  <c r="S38" i="2"/>
  <c r="O38" i="2"/>
  <c r="N38" i="2"/>
  <c r="G38" i="2"/>
  <c r="F38" i="2"/>
  <c r="H38" i="2" s="1"/>
  <c r="AN37" i="2"/>
  <c r="AM37" i="2"/>
  <c r="AI37" i="2"/>
  <c r="AH37" i="2"/>
  <c r="AD37" i="2"/>
  <c r="AC37" i="2"/>
  <c r="Y37" i="2"/>
  <c r="X37" i="2"/>
  <c r="T37" i="2"/>
  <c r="S37" i="2"/>
  <c r="O37" i="2"/>
  <c r="N37" i="2"/>
  <c r="H37" i="2"/>
  <c r="G37" i="2"/>
  <c r="F37" i="2"/>
  <c r="AN36" i="2"/>
  <c r="AM36" i="2"/>
  <c r="AI36" i="2"/>
  <c r="AH36" i="2"/>
  <c r="AD36" i="2"/>
  <c r="AC36" i="2"/>
  <c r="Y36" i="2"/>
  <c r="X36" i="2"/>
  <c r="T36" i="2"/>
  <c r="S36" i="2"/>
  <c r="O36" i="2"/>
  <c r="N36" i="2"/>
  <c r="H36" i="2"/>
  <c r="G36" i="2"/>
  <c r="F36" i="2"/>
  <c r="AN35" i="2"/>
  <c r="AM35" i="2"/>
  <c r="AI35" i="2"/>
  <c r="AH35" i="2"/>
  <c r="AD35" i="2"/>
  <c r="AC35" i="2"/>
  <c r="Y35" i="2"/>
  <c r="X35" i="2"/>
  <c r="T35" i="2"/>
  <c r="S35" i="2"/>
  <c r="O35" i="2"/>
  <c r="N35" i="2"/>
  <c r="G35" i="2"/>
  <c r="F35" i="2"/>
  <c r="C18" i="3" s="1"/>
  <c r="AN34" i="2"/>
  <c r="AM34" i="2"/>
  <c r="AI34" i="2"/>
  <c r="AH34" i="2"/>
  <c r="AD34" i="2"/>
  <c r="AC34" i="2"/>
  <c r="Y34" i="2"/>
  <c r="X34" i="2"/>
  <c r="T34" i="2"/>
  <c r="S34" i="2"/>
  <c r="O34" i="2"/>
  <c r="N34" i="2"/>
  <c r="G34" i="2"/>
  <c r="F34" i="2"/>
  <c r="H34" i="2" s="1"/>
  <c r="AN33" i="2"/>
  <c r="AM33" i="2"/>
  <c r="AI33" i="2"/>
  <c r="AH33" i="2"/>
  <c r="AD33" i="2"/>
  <c r="AC33" i="2"/>
  <c r="Y33" i="2"/>
  <c r="X33" i="2"/>
  <c r="T33" i="2"/>
  <c r="S33" i="2"/>
  <c r="O33" i="2"/>
  <c r="N33" i="2"/>
  <c r="G33" i="2"/>
  <c r="F33" i="2"/>
  <c r="C17" i="3" s="1"/>
  <c r="AN32" i="2"/>
  <c r="AM32" i="2"/>
  <c r="AI32" i="2"/>
  <c r="AH32" i="2"/>
  <c r="AD32" i="2"/>
  <c r="AC32" i="2"/>
  <c r="Y32" i="2"/>
  <c r="X32" i="2"/>
  <c r="T32" i="2"/>
  <c r="S32" i="2"/>
  <c r="O32" i="2"/>
  <c r="N32" i="2"/>
  <c r="G32" i="2"/>
  <c r="F32" i="2"/>
  <c r="H32" i="2" s="1"/>
  <c r="AN31" i="2"/>
  <c r="AM31" i="2"/>
  <c r="AI31" i="2"/>
  <c r="AH31" i="2"/>
  <c r="AD31" i="2"/>
  <c r="AC31" i="2"/>
  <c r="Y31" i="2"/>
  <c r="X31" i="2"/>
  <c r="T31" i="2"/>
  <c r="S31" i="2"/>
  <c r="O31" i="2"/>
  <c r="N31" i="2"/>
  <c r="H31" i="2"/>
  <c r="G31" i="2"/>
  <c r="F31" i="2"/>
  <c r="AN30" i="2"/>
  <c r="AM30" i="2"/>
  <c r="AI30" i="2"/>
  <c r="AH30" i="2"/>
  <c r="AD30" i="2"/>
  <c r="AC30" i="2"/>
  <c r="Y30" i="2"/>
  <c r="X30" i="2"/>
  <c r="T30" i="2"/>
  <c r="S30" i="2"/>
  <c r="O30" i="2"/>
  <c r="N30" i="2"/>
  <c r="H30" i="2"/>
  <c r="G30" i="2"/>
  <c r="F30" i="2"/>
  <c r="B16" i="3" s="1"/>
  <c r="D16" i="3" s="1"/>
  <c r="AN29" i="2"/>
  <c r="AM29" i="2"/>
  <c r="AI29" i="2"/>
  <c r="AH29" i="2"/>
  <c r="AD29" i="2"/>
  <c r="AC29" i="2"/>
  <c r="Y29" i="2"/>
  <c r="X29" i="2"/>
  <c r="T29" i="2"/>
  <c r="S29" i="2"/>
  <c r="O29" i="2"/>
  <c r="N29" i="2"/>
  <c r="G29" i="2"/>
  <c r="F29" i="2"/>
  <c r="H29" i="2" s="1"/>
  <c r="AN28" i="2"/>
  <c r="AM28" i="2"/>
  <c r="AI28" i="2"/>
  <c r="AH28" i="2"/>
  <c r="AD28" i="2"/>
  <c r="AC28" i="2"/>
  <c r="Y28" i="2"/>
  <c r="X28" i="2"/>
  <c r="T28" i="2"/>
  <c r="S28" i="2"/>
  <c r="O28" i="2"/>
  <c r="N28" i="2"/>
  <c r="G28" i="2"/>
  <c r="F28" i="2"/>
  <c r="H28" i="2" s="1"/>
  <c r="AN27" i="2"/>
  <c r="AM27" i="2"/>
  <c r="AI27" i="2"/>
  <c r="AH27" i="2"/>
  <c r="AD27" i="2"/>
  <c r="AC27" i="2"/>
  <c r="Y27" i="2"/>
  <c r="X27" i="2"/>
  <c r="T27" i="2"/>
  <c r="S27" i="2"/>
  <c r="O27" i="2"/>
  <c r="N27" i="2"/>
  <c r="G27" i="2"/>
  <c r="F27" i="2"/>
  <c r="H27" i="2" s="1"/>
  <c r="AN26" i="2"/>
  <c r="AM26" i="2"/>
  <c r="AI26" i="2"/>
  <c r="AH26" i="2"/>
  <c r="AD26" i="2"/>
  <c r="AC26" i="2"/>
  <c r="Y26" i="2"/>
  <c r="X26" i="2"/>
  <c r="T26" i="2"/>
  <c r="S26" i="2"/>
  <c r="O26" i="2"/>
  <c r="N26" i="2"/>
  <c r="G26" i="2"/>
  <c r="F26" i="2"/>
  <c r="H26" i="2" s="1"/>
  <c r="AN25" i="2"/>
  <c r="AM25" i="2"/>
  <c r="AI25" i="2"/>
  <c r="AH25" i="2"/>
  <c r="AD25" i="2"/>
  <c r="AC25" i="2"/>
  <c r="Y25" i="2"/>
  <c r="X25" i="2"/>
  <c r="T25" i="2"/>
  <c r="S25" i="2"/>
  <c r="O25" i="2"/>
  <c r="N25" i="2"/>
  <c r="H25" i="2"/>
  <c r="G25" i="2"/>
  <c r="F25" i="2"/>
  <c r="C13" i="3" s="1"/>
  <c r="AN24" i="2"/>
  <c r="AM24" i="2"/>
  <c r="AI24" i="2"/>
  <c r="AH24" i="2"/>
  <c r="AD24" i="2"/>
  <c r="AC24" i="2"/>
  <c r="Y24" i="2"/>
  <c r="X24" i="2"/>
  <c r="T24" i="2"/>
  <c r="S24" i="2"/>
  <c r="O24" i="2"/>
  <c r="N24" i="2"/>
  <c r="H24" i="2"/>
  <c r="G24" i="2"/>
  <c r="F24" i="2"/>
  <c r="B13" i="3" s="1"/>
  <c r="D13" i="3" s="1"/>
  <c r="AN23" i="2"/>
  <c r="AM23" i="2"/>
  <c r="AI23" i="2"/>
  <c r="AH23" i="2"/>
  <c r="AD23" i="2"/>
  <c r="AC23" i="2"/>
  <c r="Y23" i="2"/>
  <c r="X23" i="2"/>
  <c r="T23" i="2"/>
  <c r="S23" i="2"/>
  <c r="O23" i="2"/>
  <c r="N23" i="2"/>
  <c r="G23" i="2"/>
  <c r="F23" i="2"/>
  <c r="C12" i="3" s="1"/>
  <c r="AN22" i="2"/>
  <c r="AM22" i="2"/>
  <c r="AI22" i="2"/>
  <c r="AH22" i="2"/>
  <c r="AD22" i="2"/>
  <c r="AC22" i="2"/>
  <c r="Y22" i="2"/>
  <c r="X22" i="2"/>
  <c r="T22" i="2"/>
  <c r="S22" i="2"/>
  <c r="O22" i="2"/>
  <c r="N22" i="2"/>
  <c r="G22" i="2"/>
  <c r="F22" i="2"/>
  <c r="H22" i="2" s="1"/>
  <c r="AN21" i="2"/>
  <c r="AM21" i="2"/>
  <c r="AI21" i="2"/>
  <c r="AH21" i="2"/>
  <c r="AD21" i="2"/>
  <c r="AC21" i="2"/>
  <c r="Y21" i="2"/>
  <c r="X21" i="2"/>
  <c r="T21" i="2"/>
  <c r="S21" i="2"/>
  <c r="O21" i="2"/>
  <c r="N21" i="2"/>
  <c r="G21" i="2"/>
  <c r="F21" i="2"/>
  <c r="C11" i="3" s="1"/>
  <c r="AN20" i="2"/>
  <c r="AM20" i="2"/>
  <c r="AI20" i="2"/>
  <c r="AH20" i="2"/>
  <c r="AD20" i="2"/>
  <c r="AC20" i="2"/>
  <c r="Y20" i="2"/>
  <c r="X20" i="2"/>
  <c r="T20" i="2"/>
  <c r="S20" i="2"/>
  <c r="O20" i="2"/>
  <c r="N20" i="2"/>
  <c r="G20" i="2"/>
  <c r="F20" i="2"/>
  <c r="H20" i="2" s="1"/>
  <c r="AN19" i="2"/>
  <c r="AM19" i="2"/>
  <c r="AI19" i="2"/>
  <c r="AH19" i="2"/>
  <c r="AD19" i="2"/>
  <c r="AC19" i="2"/>
  <c r="Y19" i="2"/>
  <c r="X19" i="2"/>
  <c r="T19" i="2"/>
  <c r="S19" i="2"/>
  <c r="O19" i="2"/>
  <c r="N19" i="2"/>
  <c r="H19" i="2"/>
  <c r="G19" i="2"/>
  <c r="F19" i="2"/>
  <c r="AN18" i="2"/>
  <c r="AM18" i="2"/>
  <c r="AI18" i="2"/>
  <c r="AH18" i="2"/>
  <c r="AD18" i="2"/>
  <c r="AC18" i="2"/>
  <c r="Y18" i="2"/>
  <c r="X18" i="2"/>
  <c r="T18" i="2"/>
  <c r="S18" i="2"/>
  <c r="O18" i="2"/>
  <c r="N18" i="2"/>
  <c r="H18" i="2"/>
  <c r="G18" i="2"/>
  <c r="F18" i="2"/>
  <c r="B10" i="3" s="1"/>
  <c r="D10" i="3" s="1"/>
  <c r="AN17" i="2"/>
  <c r="AM17" i="2"/>
  <c r="AI17" i="2"/>
  <c r="AH17" i="2"/>
  <c r="AD17" i="2"/>
  <c r="AC17" i="2"/>
  <c r="Y17" i="2"/>
  <c r="X17" i="2"/>
  <c r="T17" i="2"/>
  <c r="S17" i="2"/>
  <c r="O17" i="2"/>
  <c r="N17" i="2"/>
  <c r="G17" i="2"/>
  <c r="F17" i="2"/>
  <c r="C9" i="3" s="1"/>
  <c r="AN16" i="2"/>
  <c r="AM16" i="2"/>
  <c r="AI16" i="2"/>
  <c r="AH16" i="2"/>
  <c r="AD16" i="2"/>
  <c r="AC16" i="2"/>
  <c r="Y16" i="2"/>
  <c r="X16" i="2"/>
  <c r="T16" i="2"/>
  <c r="S16" i="2"/>
  <c r="O16" i="2"/>
  <c r="N16" i="2"/>
  <c r="G16" i="2"/>
  <c r="F16" i="2"/>
  <c r="H16" i="2" s="1"/>
  <c r="AN15" i="2"/>
  <c r="AM15" i="2"/>
  <c r="AI15" i="2"/>
  <c r="AH15" i="2"/>
  <c r="AD15" i="2"/>
  <c r="AC15" i="2"/>
  <c r="Y15" i="2"/>
  <c r="X15" i="2"/>
  <c r="T15" i="2"/>
  <c r="S15" i="2"/>
  <c r="O15" i="2"/>
  <c r="N15" i="2"/>
  <c r="G15" i="2"/>
  <c r="F15" i="2"/>
  <c r="H15" i="2" s="1"/>
  <c r="AN14" i="2"/>
  <c r="AM14" i="2"/>
  <c r="AI14" i="2"/>
  <c r="AH14" i="2"/>
  <c r="AD14" i="2"/>
  <c r="AC14" i="2"/>
  <c r="Y14" i="2"/>
  <c r="X14" i="2"/>
  <c r="T14" i="2"/>
  <c r="S14" i="2"/>
  <c r="O14" i="2"/>
  <c r="N14" i="2"/>
  <c r="G14" i="2"/>
  <c r="F14" i="2"/>
  <c r="H14" i="2" s="1"/>
  <c r="AN13" i="2"/>
  <c r="AM13" i="2"/>
  <c r="AI13" i="2"/>
  <c r="AH13" i="2"/>
  <c r="AD13" i="2"/>
  <c r="AC13" i="2"/>
  <c r="Y13" i="2"/>
  <c r="X13" i="2"/>
  <c r="T13" i="2"/>
  <c r="S13" i="2"/>
  <c r="O13" i="2"/>
  <c r="N13" i="2"/>
  <c r="H13" i="2"/>
  <c r="G13" i="2"/>
  <c r="F13" i="2"/>
  <c r="AN12" i="2"/>
  <c r="AM12" i="2"/>
  <c r="AI12" i="2"/>
  <c r="AH12" i="2"/>
  <c r="AD12" i="2"/>
  <c r="AC12" i="2"/>
  <c r="Y12" i="2"/>
  <c r="X12" i="2"/>
  <c r="T12" i="2"/>
  <c r="S12" i="2"/>
  <c r="O12" i="2"/>
  <c r="N12" i="2"/>
  <c r="H12" i="2"/>
  <c r="G12" i="2"/>
  <c r="F12" i="2"/>
  <c r="AN11" i="2"/>
  <c r="AM11" i="2"/>
  <c r="AI11" i="2"/>
  <c r="AH11" i="2"/>
  <c r="AD11" i="2"/>
  <c r="AC11" i="2"/>
  <c r="Y11" i="2"/>
  <c r="X11" i="2"/>
  <c r="T11" i="2"/>
  <c r="S11" i="2"/>
  <c r="O11" i="2"/>
  <c r="N11" i="2"/>
  <c r="G11" i="2"/>
  <c r="F11" i="2"/>
  <c r="C6" i="3" s="1"/>
  <c r="AN10" i="2"/>
  <c r="AM10" i="2"/>
  <c r="AI10" i="2"/>
  <c r="AH10" i="2"/>
  <c r="AD10" i="2"/>
  <c r="AC10" i="2"/>
  <c r="Y10" i="2"/>
  <c r="X10" i="2"/>
  <c r="T10" i="2"/>
  <c r="S10" i="2"/>
  <c r="O10" i="2"/>
  <c r="N10" i="2"/>
  <c r="G10" i="2"/>
  <c r="F10" i="2"/>
  <c r="H10" i="2" s="1"/>
  <c r="AN9" i="2"/>
  <c r="AM9" i="2"/>
  <c r="AI9" i="2"/>
  <c r="AH9" i="2"/>
  <c r="AD9" i="2"/>
  <c r="AC9" i="2"/>
  <c r="Y9" i="2"/>
  <c r="X9" i="2"/>
  <c r="T9" i="2"/>
  <c r="S9" i="2"/>
  <c r="O9" i="2"/>
  <c r="N9" i="2"/>
  <c r="G9" i="2"/>
  <c r="F9" i="2"/>
  <c r="C5" i="3" s="1"/>
  <c r="AN8" i="2"/>
  <c r="AM8" i="2"/>
  <c r="AI8" i="2"/>
  <c r="AH8" i="2"/>
  <c r="AD8" i="2"/>
  <c r="AC8" i="2"/>
  <c r="Y8" i="2"/>
  <c r="X8" i="2"/>
  <c r="T8" i="2"/>
  <c r="S8" i="2"/>
  <c r="O8" i="2"/>
  <c r="N8" i="2"/>
  <c r="G8" i="2"/>
  <c r="F8" i="2"/>
  <c r="H8" i="2" s="1"/>
  <c r="AN7" i="2"/>
  <c r="AM7" i="2"/>
  <c r="AI7" i="2"/>
  <c r="AH7" i="2"/>
  <c r="AD7" i="2"/>
  <c r="AC7" i="2"/>
  <c r="Y7" i="2"/>
  <c r="X7" i="2"/>
  <c r="T7" i="2"/>
  <c r="S7" i="2"/>
  <c r="O7" i="2"/>
  <c r="N7" i="2"/>
  <c r="H7" i="2"/>
  <c r="G7" i="2"/>
  <c r="F7" i="2"/>
  <c r="AN6" i="2"/>
  <c r="AM6" i="2"/>
  <c r="AI6" i="2"/>
  <c r="AH6" i="2"/>
  <c r="AD6" i="2"/>
  <c r="AC6" i="2"/>
  <c r="Y6" i="2"/>
  <c r="X6" i="2"/>
  <c r="T6" i="2"/>
  <c r="S6" i="2"/>
  <c r="O6" i="2"/>
  <c r="N6" i="2"/>
  <c r="H6" i="2"/>
  <c r="G6" i="2"/>
  <c r="F6" i="2"/>
  <c r="B4" i="3" s="1"/>
  <c r="D4" i="3" s="1"/>
  <c r="AN5" i="2"/>
  <c r="AM5" i="2"/>
  <c r="AI5" i="2"/>
  <c r="AH5" i="2"/>
  <c r="AD5" i="2"/>
  <c r="AC5" i="2"/>
  <c r="Y5" i="2"/>
  <c r="X5" i="2"/>
  <c r="T5" i="2"/>
  <c r="S5" i="2"/>
  <c r="O5" i="2"/>
  <c r="N5" i="2"/>
  <c r="G5" i="2"/>
  <c r="F5" i="2"/>
  <c r="C3" i="3" s="1"/>
  <c r="AN4" i="2"/>
  <c r="AM4" i="2"/>
  <c r="AI4" i="2"/>
  <c r="AH4" i="2"/>
  <c r="AD4" i="2"/>
  <c r="AC4" i="2"/>
  <c r="Y4" i="2"/>
  <c r="X4" i="2"/>
  <c r="T4" i="2"/>
  <c r="S4" i="2"/>
  <c r="O4" i="2"/>
  <c r="N4" i="2"/>
  <c r="G4" i="2"/>
  <c r="F4" i="2"/>
  <c r="B3" i="3" s="1"/>
  <c r="D3" i="3" s="1"/>
  <c r="AN3" i="2"/>
  <c r="AM3" i="2"/>
  <c r="AI3" i="2"/>
  <c r="AH3" i="2"/>
  <c r="AD3" i="2"/>
  <c r="AC3" i="2"/>
  <c r="Y3" i="2"/>
  <c r="X3" i="2"/>
  <c r="T3" i="2"/>
  <c r="S3" i="2"/>
  <c r="O3" i="2"/>
  <c r="N3" i="2"/>
  <c r="G3" i="2"/>
  <c r="F3" i="2"/>
  <c r="H3" i="2" s="1"/>
  <c r="AN2" i="2"/>
  <c r="AM2" i="2"/>
  <c r="AI2" i="2"/>
  <c r="AH2" i="2"/>
  <c r="AD2" i="2"/>
  <c r="AC2" i="2"/>
  <c r="Y2" i="2"/>
  <c r="X2" i="2"/>
  <c r="T2" i="2"/>
  <c r="S2" i="2"/>
  <c r="O2" i="2"/>
  <c r="N2" i="2"/>
  <c r="G2" i="2"/>
  <c r="F2" i="2"/>
  <c r="B2" i="3" s="1"/>
  <c r="D2" i="3" s="1"/>
  <c r="I24" i="2" l="1"/>
  <c r="E13" i="3"/>
  <c r="I25" i="2"/>
  <c r="E9" i="3"/>
  <c r="I17" i="2"/>
  <c r="I16" i="2"/>
  <c r="I31" i="2"/>
  <c r="E16" i="3"/>
  <c r="I30" i="2"/>
  <c r="E4" i="3"/>
  <c r="I6" i="2"/>
  <c r="I7" i="2"/>
  <c r="I43" i="2"/>
  <c r="E22" i="3"/>
  <c r="F22" i="3" s="1"/>
  <c r="I42" i="2"/>
  <c r="E19" i="3"/>
  <c r="I36" i="2"/>
  <c r="I37" i="2"/>
  <c r="D20" i="3"/>
  <c r="I5" i="2"/>
  <c r="I4" i="2"/>
  <c r="E3" i="3"/>
  <c r="I3" i="2"/>
  <c r="E2" i="3"/>
  <c r="I2" i="2"/>
  <c r="I19" i="2"/>
  <c r="E10" i="3"/>
  <c r="I18" i="2"/>
  <c r="E7" i="3"/>
  <c r="I12" i="2"/>
  <c r="I13" i="2"/>
  <c r="C15" i="3"/>
  <c r="D15" i="3" s="1"/>
  <c r="H35" i="2"/>
  <c r="H47" i="2"/>
  <c r="C8" i="3"/>
  <c r="D8" i="3" s="1"/>
  <c r="C20" i="3"/>
  <c r="H11" i="2"/>
  <c r="H4" i="2"/>
  <c r="B6" i="3"/>
  <c r="D6" i="3" s="1"/>
  <c r="B18" i="3"/>
  <c r="D18" i="3" s="1"/>
  <c r="B12" i="3"/>
  <c r="D12" i="3" s="1"/>
  <c r="H9" i="2"/>
  <c r="H21" i="2"/>
  <c r="H33" i="2"/>
  <c r="H45" i="2"/>
  <c r="B11" i="3"/>
  <c r="D11" i="3" s="1"/>
  <c r="B23" i="3"/>
  <c r="D23" i="3" s="1"/>
  <c r="H23" i="2"/>
  <c r="H2" i="2"/>
  <c r="C21" i="3"/>
  <c r="D21" i="3" s="1"/>
  <c r="H5" i="2"/>
  <c r="H17" i="2"/>
  <c r="C14" i="3"/>
  <c r="D14" i="3" s="1"/>
  <c r="B24" i="3"/>
  <c r="D24" i="3" s="1"/>
  <c r="B5" i="3"/>
  <c r="D5" i="3" s="1"/>
  <c r="B17" i="3"/>
  <c r="D17" i="3" s="1"/>
  <c r="I29" i="2" l="1"/>
  <c r="I28" i="2"/>
  <c r="E15" i="3"/>
  <c r="F15" i="3" s="1"/>
  <c r="E21" i="3"/>
  <c r="F21" i="3" s="1"/>
  <c r="I41" i="2"/>
  <c r="I40" i="2"/>
  <c r="I14" i="2"/>
  <c r="I15" i="2"/>
  <c r="E8" i="3"/>
  <c r="F8" i="3" s="1"/>
  <c r="I26" i="2"/>
  <c r="I27" i="2"/>
  <c r="E14" i="3"/>
  <c r="F14" i="3" s="1"/>
  <c r="I8" i="2"/>
  <c r="I9" i="2"/>
  <c r="E5" i="3"/>
  <c r="F5" i="3" s="1"/>
  <c r="I34" i="2"/>
  <c r="E18" i="3"/>
  <c r="F18" i="3" s="1"/>
  <c r="I35" i="2"/>
  <c r="F16" i="3"/>
  <c r="I3" i="3"/>
  <c r="F19" i="3"/>
  <c r="F9" i="3"/>
  <c r="I20" i="2"/>
  <c r="I21" i="2"/>
  <c r="E11" i="3"/>
  <c r="I2" i="3"/>
  <c r="E24" i="3"/>
  <c r="F24" i="3" s="1"/>
  <c r="I46" i="2"/>
  <c r="I47" i="2"/>
  <c r="E12" i="3"/>
  <c r="F12" i="3" s="1"/>
  <c r="I22" i="2"/>
  <c r="I23" i="2"/>
  <c r="E6" i="3"/>
  <c r="F6" i="3" s="1"/>
  <c r="I10" i="2"/>
  <c r="I11" i="2"/>
  <c r="I44" i="2"/>
  <c r="E23" i="3"/>
  <c r="F23" i="3" s="1"/>
  <c r="I45" i="2"/>
  <c r="F2" i="3"/>
  <c r="J43" i="2"/>
  <c r="J42" i="2"/>
  <c r="F13" i="3"/>
  <c r="F3" i="3"/>
  <c r="F7" i="3"/>
  <c r="I39" i="2"/>
  <c r="I38" i="2"/>
  <c r="E20" i="3"/>
  <c r="F20" i="3" s="1"/>
  <c r="F10" i="3"/>
  <c r="I32" i="2"/>
  <c r="I33" i="2"/>
  <c r="E17" i="3"/>
  <c r="F17" i="3" s="1"/>
  <c r="F4" i="3"/>
  <c r="J27" i="2" l="1"/>
  <c r="J26" i="2"/>
  <c r="J17" i="2"/>
  <c r="J16" i="2"/>
  <c r="J36" i="2"/>
  <c r="J37" i="2"/>
  <c r="J22" i="2"/>
  <c r="J23" i="2"/>
  <c r="J19" i="2"/>
  <c r="J18" i="2"/>
  <c r="J10" i="2"/>
  <c r="J11" i="2"/>
  <c r="J31" i="2"/>
  <c r="J30" i="2"/>
  <c r="J24" i="2"/>
  <c r="J25" i="2"/>
  <c r="J34" i="2"/>
  <c r="J35" i="2"/>
  <c r="J7" i="2"/>
  <c r="J6" i="2"/>
  <c r="J29" i="2"/>
  <c r="J28" i="2"/>
  <c r="J5" i="2"/>
  <c r="J4" i="2"/>
  <c r="J38" i="2"/>
  <c r="J39" i="2"/>
  <c r="J14" i="2"/>
  <c r="J15" i="2"/>
  <c r="J12" i="2"/>
  <c r="J13" i="2"/>
  <c r="J41" i="2"/>
  <c r="J40" i="2"/>
  <c r="J33" i="2"/>
  <c r="J32" i="2"/>
  <c r="J3" i="2"/>
  <c r="J2" i="2"/>
  <c r="J46" i="2"/>
  <c r="J47" i="2"/>
  <c r="J8" i="2"/>
  <c r="J9" i="2"/>
  <c r="J44" i="2"/>
  <c r="J45" i="2"/>
  <c r="F11" i="3"/>
  <c r="J21" i="2" l="1"/>
  <c r="J20" i="2"/>
</calcChain>
</file>

<file path=xl/sharedStrings.xml><?xml version="1.0" encoding="utf-8"?>
<sst xmlns="http://schemas.openxmlformats.org/spreadsheetml/2006/main" count="167" uniqueCount="73">
  <si>
    <t>SampleName</t>
  </si>
  <si>
    <t>Tissue</t>
  </si>
  <si>
    <t>MDV_Rep1</t>
  </si>
  <si>
    <t>MDV_Rep2</t>
  </si>
  <si>
    <t>MDV_Rep3</t>
  </si>
  <si>
    <t>MDV_Mean</t>
  </si>
  <si>
    <t>MDV_CV_percent</t>
  </si>
  <si>
    <t>MDV_Status</t>
  </si>
  <si>
    <t>Systemic_Burden</t>
  </si>
  <si>
    <t>Burden_Group</t>
  </si>
  <si>
    <t>IFNG_Rep1</t>
  </si>
  <si>
    <t>IFNG_Rep2</t>
  </si>
  <si>
    <t>IFNG_Rep3</t>
  </si>
  <si>
    <t>IFNG_Mean</t>
  </si>
  <si>
    <t>IFNG_CV_percent</t>
  </si>
  <si>
    <t>IL2_Rep1</t>
  </si>
  <si>
    <t>IL2_Rep2</t>
  </si>
  <si>
    <t>IL2_Rep3</t>
  </si>
  <si>
    <t>IL2_Mean</t>
  </si>
  <si>
    <t>IL2_CV_percent</t>
  </si>
  <si>
    <t>IL4_Rep1</t>
  </si>
  <si>
    <t>IL4_Rep2</t>
  </si>
  <si>
    <t>IL4_Rep3</t>
  </si>
  <si>
    <t>IL4_Mean</t>
  </si>
  <si>
    <t>IL4_CV_percent</t>
  </si>
  <si>
    <t>IL6_Rep1</t>
  </si>
  <si>
    <t>IL6_Rep2</t>
  </si>
  <si>
    <t>IL6_Rep3</t>
  </si>
  <si>
    <t>IL6_Mean</t>
  </si>
  <si>
    <t>IL6_CV_percent</t>
  </si>
  <si>
    <t>IL10_Rep1</t>
  </si>
  <si>
    <t>IL10_Rep2</t>
  </si>
  <si>
    <t>IL10_Rep3</t>
  </si>
  <si>
    <t>IL10_Mean</t>
  </si>
  <si>
    <t>IL10_CV_percent</t>
  </si>
  <si>
    <t>IL17_Rep1</t>
  </si>
  <si>
    <t>IL17_Rep2</t>
  </si>
  <si>
    <t>IL17_Rep3</t>
  </si>
  <si>
    <t>IL17_Mean</t>
  </si>
  <si>
    <t>IL17_CV_percent</t>
  </si>
  <si>
    <t>Ch-8</t>
  </si>
  <si>
    <t>Liver</t>
  </si>
  <si>
    <t>Spleen</t>
  </si>
  <si>
    <t>Ch-9</t>
  </si>
  <si>
    <t>Ch-12</t>
  </si>
  <si>
    <t>Ch-13</t>
  </si>
  <si>
    <t>Ch-18</t>
  </si>
  <si>
    <t>Ch-19</t>
  </si>
  <si>
    <t>Ch-20</t>
  </si>
  <si>
    <t>Ch-21</t>
  </si>
  <si>
    <t>Ch-23</t>
  </si>
  <si>
    <t>Ch-24</t>
  </si>
  <si>
    <t>Ch-25</t>
  </si>
  <si>
    <t>Ch-26</t>
  </si>
  <si>
    <t>Ch-27</t>
  </si>
  <si>
    <t>Ch-29</t>
  </si>
  <si>
    <t>Ch-32</t>
  </si>
  <si>
    <t>Ch-33</t>
  </si>
  <si>
    <t>Ch-35</t>
  </si>
  <si>
    <t>Ch-36</t>
  </si>
  <si>
    <t>N-1</t>
  </si>
  <si>
    <t>N-2</t>
  </si>
  <si>
    <t>N-3</t>
  </si>
  <si>
    <t>N-4</t>
  </si>
  <si>
    <t>N-5</t>
  </si>
  <si>
    <t>Liver_MDV_Mean</t>
  </si>
  <si>
    <t>Spleen_MDV_Mean</t>
  </si>
  <si>
    <t>Parameter</t>
  </si>
  <si>
    <t>Value</t>
  </si>
  <si>
    <t>Median systemic cutoff</t>
  </si>
  <si>
    <t>MDV-positive birds</t>
  </si>
  <si>
    <t>Grouping rule</t>
  </si>
  <si>
    <t>≤ cutoff = Lower; &gt; cutoff =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</si>
</sst>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>
    <font>
      <sz val="11"/>
      <name val="Carlito"/>
    </font>
    <font>
      <b/>
      <sz val="11"/>
      <color rgb="FFFFFFFF"/>
      <name val="Carlito"/>
    </font>
    <font>
      <b/>
      <sz val="9"/>
      <color rgb="FFFFFFFF"/>
      <name val="Times New Roman"/>
      <family val="1"/>
    </font>
    <font>
      <sz val="11"/>
      <name val="Times New Roman"/>
      <family val="1"/>
    </font>
    <font>
      <b/>
      <sz val="11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2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59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MDVCytokineTable" displayName="CombinedMDVCytokineTable" ref="A1:AN47" headerRowDxfId="49" dataDxfId="48" totalsRowDxfId="47">
  <tableColumns count="40">
    <tableColumn id="1" xr3:uid="{00000000-0010-0000-0000-000001000000}" name="SampleName" dataDxfId="46"/>
    <tableColumn id="2" xr3:uid="{00000000-0010-0000-0000-000002000000}" name="Tissue" dataDxfId="45"/>
    <tableColumn id="3" xr3:uid="{00000000-0010-0000-0000-000003000000}" name="MDV_Rep1" dataDxfId="44"/>
    <tableColumn id="4" xr3:uid="{00000000-0010-0000-0000-000004000000}" name="MDV_Rep2" dataDxfId="43"/>
    <tableColumn id="5" xr3:uid="{00000000-0010-0000-0000-000005000000}" name="MDV_Rep3" dataDxfId="42"/>
    <tableColumn id="6" xr3:uid="{00000000-0010-0000-0000-000006000000}" name="MDV_Mean" dataDxfId="1"/>
    <tableColumn id="7" xr3:uid="{00000000-0010-0000-0000-000007000000}" name="MDV_CV_percent" dataDxfId="2"/>
    <tableColumn id="8" xr3:uid="{00000000-0010-0000-0000-000008000000}" name="MDV_Status" dataDxfId="0"/>
    <tableColumn id="9" xr3:uid="{00000000-0010-0000-0000-000009000000}" name="Systemic_Burden" dataDxfId="41"/>
    <tableColumn id="10" xr3:uid="{00000000-0010-0000-0000-00000A000000}" name="Burden_Group" dataDxfId="40"/>
    <tableColumn id="11" xr3:uid="{00000000-0010-0000-0000-00000B000000}" name="IFNG_Rep1" dataDxfId="39"/>
    <tableColumn id="12" xr3:uid="{00000000-0010-0000-0000-00000C000000}" name="IFNG_Rep2" dataDxfId="38"/>
    <tableColumn id="13" xr3:uid="{00000000-0010-0000-0000-00000D000000}" name="IFNG_Rep3" dataDxfId="37"/>
    <tableColumn id="14" xr3:uid="{00000000-0010-0000-0000-00000E000000}" name="IFNG_Mean" dataDxfId="36"/>
    <tableColumn id="15" xr3:uid="{00000000-0010-0000-0000-00000F000000}" name="IFNG_CV_percent" dataDxfId="35"/>
    <tableColumn id="16" xr3:uid="{00000000-0010-0000-0000-000010000000}" name="IL2_Rep1" dataDxfId="34"/>
    <tableColumn id="17" xr3:uid="{00000000-0010-0000-0000-000011000000}" name="IL2_Rep2" dataDxfId="33"/>
    <tableColumn id="18" xr3:uid="{00000000-0010-0000-0000-000012000000}" name="IL2_Rep3" dataDxfId="32"/>
    <tableColumn id="19" xr3:uid="{00000000-0010-0000-0000-000013000000}" name="IL2_Mean" dataDxfId="31"/>
    <tableColumn id="20" xr3:uid="{00000000-0010-0000-0000-000014000000}" name="IL2_CV_percent" dataDxfId="30"/>
    <tableColumn id="21" xr3:uid="{00000000-0010-0000-0000-000015000000}" name="IL4_Rep1" dataDxfId="29"/>
    <tableColumn id="22" xr3:uid="{00000000-0010-0000-0000-000016000000}" name="IL4_Rep2" dataDxfId="28"/>
    <tableColumn id="23" xr3:uid="{00000000-0010-0000-0000-000017000000}" name="IL4_Rep3" dataDxfId="27"/>
    <tableColumn id="24" xr3:uid="{00000000-0010-0000-0000-000018000000}" name="IL4_Mean" dataDxfId="26"/>
    <tableColumn id="25" xr3:uid="{00000000-0010-0000-0000-000019000000}" name="IL4_CV_percent" dataDxfId="25"/>
    <tableColumn id="26" xr3:uid="{00000000-0010-0000-0000-00001A000000}" name="IL6_Rep1" dataDxfId="24"/>
    <tableColumn id="27" xr3:uid="{00000000-0010-0000-0000-00001B000000}" name="IL6_Rep2" dataDxfId="23"/>
    <tableColumn id="28" xr3:uid="{00000000-0010-0000-0000-00001C000000}" name="IL6_Rep3" dataDxfId="22"/>
    <tableColumn id="29" xr3:uid="{00000000-0010-0000-0000-00001D000000}" name="IL6_Mean" dataDxfId="21"/>
    <tableColumn id="30" xr3:uid="{00000000-0010-0000-0000-00001E000000}" name="IL6_CV_percent" dataDxfId="20"/>
    <tableColumn id="31" xr3:uid="{00000000-0010-0000-0000-00001F000000}" name="IL10_Rep1" dataDxfId="19"/>
    <tableColumn id="32" xr3:uid="{00000000-0010-0000-0000-000020000000}" name="IL10_Rep2" dataDxfId="18"/>
    <tableColumn id="33" xr3:uid="{00000000-0010-0000-0000-000021000000}" name="IL10_Rep3" dataDxfId="17"/>
    <tableColumn id="34" xr3:uid="{00000000-0010-0000-0000-000022000000}" name="IL10_Mean" dataDxfId="16"/>
    <tableColumn id="35" xr3:uid="{00000000-0010-0000-0000-000023000000}" name="IL10_CV_percent" dataDxfId="15"/>
    <tableColumn id="36" xr3:uid="{00000000-0010-0000-0000-000024000000}" name="IL17_Rep1" dataDxfId="14"/>
    <tableColumn id="37" xr3:uid="{00000000-0010-0000-0000-000025000000}" name="IL17_Rep2" dataDxfId="13"/>
    <tableColumn id="38" xr3:uid="{00000000-0010-0000-0000-000026000000}" name="IL17_Rep3" dataDxfId="12"/>
    <tableColumn id="39" xr3:uid="{00000000-0010-0000-0000-000027000000}" name="IL17_Mean" dataDxfId="11"/>
    <tableColumn id="40" xr3:uid="{00000000-0010-0000-0000-000028000000}" name="IL17_CV_percent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rdSummaryTable" displayName="BirdSummaryTable" ref="A1:F24" headerRowDxfId="58" dataDxfId="57" totalsRowDxfId="56">
  <tableColumns count="6">
    <tableColumn id="1" xr3:uid="{00000000-0010-0000-0100-000001000000}" name="SampleName" dataDxfId="55"/>
    <tableColumn id="2" xr3:uid="{00000000-0010-0000-0100-000002000000}" name="Liver_MDV_Mean" dataDxfId="54"/>
    <tableColumn id="3" xr3:uid="{00000000-0010-0000-0100-000003000000}" name="Spleen_MDV_Mean" dataDxfId="53"/>
    <tableColumn id="4" xr3:uid="{00000000-0010-0000-0100-000004000000}" name="Systemic_Burden" dataDxfId="52"/>
    <tableColumn id="5" xr3:uid="{00000000-0010-0000-0100-000005000000}" name="MDV_Status" dataDxfId="51"/>
    <tableColumn id="6" xr3:uid="{00000000-0010-0000-0100-000006000000}" name="Burden_Group" dataDxfId="5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7"/>
  <sheetViews>
    <sheetView tabSelected="1" workbookViewId="0">
      <selection activeCell="I3" sqref="I3"/>
    </sheetView>
  </sheetViews>
  <sheetFormatPr defaultRowHeight="13.8"/>
  <cols>
    <col min="1" max="1" width="14" customWidth="1"/>
    <col min="2" max="2" width="10" customWidth="1"/>
    <col min="3" max="10" width="14" customWidth="1"/>
    <col min="11" max="40" width="12" customWidth="1"/>
  </cols>
  <sheetData>
    <row r="1" spans="1:40" ht="22.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s="4" t="s">
        <v>40</v>
      </c>
      <c r="B2" s="4" t="s">
        <v>41</v>
      </c>
      <c r="C2" s="5">
        <v>646.92993160000003</v>
      </c>
      <c r="D2" s="5">
        <v>501.3338928</v>
      </c>
      <c r="E2" s="5">
        <v>651.85467530000005</v>
      </c>
      <c r="F2" s="5">
        <f t="shared" ref="F2:F47" si="0">AVERAGE(C2:E2)</f>
        <v>600.03949990000001</v>
      </c>
      <c r="G2" s="5" t="str">
        <f ca="1">IFERROR(_xludf.STDEV.S(C2:E2)/AVERAGE(C2:E2)*100,"")</f>
        <v/>
      </c>
      <c r="H2" s="5" t="str">
        <f t="shared" ref="H2:H47" si="1">IF(F2&gt;0,"MDV-positive","Control/ND")</f>
        <v>MDV-positive</v>
      </c>
      <c r="I2" s="5">
        <f>INDEX(Bird_Summary!$D$2:$D$24,MATCH(A2,Bird_Summary!$A$2:$A$24,0))</f>
        <v>190.71825174813699</v>
      </c>
      <c r="J2" s="5" t="str">
        <f>INDEX(Bird_Summary!$F$2:$F$24,MATCH(A2,Bird_Summary!$A$2:$A$24,0))</f>
        <v>Lower</v>
      </c>
      <c r="K2" s="5">
        <v>1.0837399999999999</v>
      </c>
      <c r="L2" s="5">
        <v>1.0232399999999999</v>
      </c>
      <c r="M2" s="5">
        <v>1.08775</v>
      </c>
      <c r="N2" s="5">
        <f t="shared" ref="N2:N47" si="2">AVERAGE(K2:M2)</f>
        <v>1.06491</v>
      </c>
      <c r="O2" s="5" t="str">
        <f ca="1">IFERROR(_xludf.STDEV.S(K2:M2)/AVERAGE(K2:M2)*100,"")</f>
        <v/>
      </c>
      <c r="P2" s="5">
        <v>0.10469000000000001</v>
      </c>
      <c r="Q2" s="5">
        <v>0.11745999999999999</v>
      </c>
      <c r="R2" s="5">
        <v>0.11626</v>
      </c>
      <c r="S2" s="5">
        <f t="shared" ref="S2:S47" si="3">AVERAGE(P2:R2)</f>
        <v>0.11280333333333332</v>
      </c>
      <c r="T2" s="5" t="str">
        <f ca="1">IFERROR(_xludf.STDEV.S(P2:R2)/AVERAGE(P2:R2)*100,"")</f>
        <v/>
      </c>
      <c r="U2" s="5">
        <v>0.66003999999999996</v>
      </c>
      <c r="V2" s="5">
        <v>0.69013999999999998</v>
      </c>
      <c r="W2" s="5">
        <v>0.71274000000000004</v>
      </c>
      <c r="X2" s="5">
        <f t="shared" ref="X2:X47" si="4">AVERAGE(U2:W2)</f>
        <v>0.68764000000000003</v>
      </c>
      <c r="Y2" s="5" t="str">
        <f ca="1">IFERROR(_xludf.STDEV.S(U2:W2)/AVERAGE(U2:W2)*100,"")</f>
        <v/>
      </c>
      <c r="Z2" s="5">
        <v>3.8731399999999998</v>
      </c>
      <c r="AA2" s="5">
        <v>4.0640799999999997</v>
      </c>
      <c r="AB2" s="5">
        <v>4.0479000000000003</v>
      </c>
      <c r="AC2" s="5">
        <f t="shared" ref="AC2:AC47" si="5">AVERAGE(Z2:AB2)</f>
        <v>3.9950399999999999</v>
      </c>
      <c r="AD2" s="5" t="str">
        <f ca="1">IFERROR(_xludf.STDEV.S(Z2:AB2)/AVERAGE(Z2:AB2)*100,"")</f>
        <v/>
      </c>
      <c r="AE2" s="5">
        <v>1.1771100000000001</v>
      </c>
      <c r="AF2" s="5">
        <v>1.1999200000000001</v>
      </c>
      <c r="AG2" s="5">
        <v>1.08203</v>
      </c>
      <c r="AH2" s="5">
        <f t="shared" ref="AH2:AH47" si="6">AVERAGE(AE2:AG2)</f>
        <v>1.1530200000000002</v>
      </c>
      <c r="AI2" s="5" t="str">
        <f ca="1">IFERROR(_xludf.STDEV.S(AE2:AG2)/AVERAGE(AE2:AG2)*100,"")</f>
        <v/>
      </c>
      <c r="AJ2" s="5">
        <v>0.29110000000000003</v>
      </c>
      <c r="AK2" s="5">
        <v>0.25781999999999999</v>
      </c>
      <c r="AL2" s="5">
        <v>0.27909</v>
      </c>
      <c r="AM2" s="5">
        <f t="shared" ref="AM2:AM47" si="7">AVERAGE(AJ2:AL2)</f>
        <v>0.27600333333333338</v>
      </c>
      <c r="AN2" s="5" t="str">
        <f ca="1">IFERROR(_xludf.STDEV.S(AJ2:AL2)/AVERAGE(AJ2:AL2)*100,"")</f>
        <v/>
      </c>
    </row>
    <row r="3" spans="1:40">
      <c r="A3" s="4" t="s">
        <v>40</v>
      </c>
      <c r="B3" s="4" t="s">
        <v>42</v>
      </c>
      <c r="C3" s="5">
        <v>44.811958310000001</v>
      </c>
      <c r="D3" s="5">
        <v>82.543487549999995</v>
      </c>
      <c r="E3" s="5">
        <v>54.499839780000002</v>
      </c>
      <c r="F3" s="5">
        <f t="shared" si="0"/>
        <v>60.618428546666671</v>
      </c>
      <c r="G3" s="5" t="str">
        <f ca="1">IFERROR(_xludf.STDEV.S(C3:E3)/AVERAGE(C3:E3)*100,"")</f>
        <v/>
      </c>
      <c r="H3" s="5" t="str">
        <f t="shared" si="1"/>
        <v>MDV-positive</v>
      </c>
      <c r="I3" s="5">
        <f>INDEX(Bird_Summary!$D$2:$D$24,MATCH(A3,Bird_Summary!$A$2:$A$24,0))</f>
        <v>190.71825174813699</v>
      </c>
      <c r="J3" s="5" t="str">
        <f>INDEX(Bird_Summary!$F$2:$F$24,MATCH(A3,Bird_Summary!$A$2:$A$24,0))</f>
        <v>Lower</v>
      </c>
      <c r="K3" s="5">
        <v>2.1757</v>
      </c>
      <c r="L3" s="5">
        <v>2.0947499999999999</v>
      </c>
      <c r="M3" s="5">
        <v>2.06575</v>
      </c>
      <c r="N3" s="5">
        <f t="shared" si="2"/>
        <v>2.1120666666666668</v>
      </c>
      <c r="O3" s="5" t="str">
        <f ca="1">IFERROR(_xludf.STDEV.S(K3:M3)/AVERAGE(K3:M3)*100,"")</f>
        <v/>
      </c>
      <c r="P3" s="5">
        <v>0.15598999999999999</v>
      </c>
      <c r="Q3" s="5">
        <v>0.17008999999999999</v>
      </c>
      <c r="R3" s="5">
        <v>0.17077999999999999</v>
      </c>
      <c r="S3" s="5">
        <f t="shared" si="3"/>
        <v>0.16561999999999999</v>
      </c>
      <c r="T3" s="5" t="str">
        <f ca="1">IFERROR(_xludf.STDEV.S(P3:R3)/AVERAGE(P3:R3)*100,"")</f>
        <v/>
      </c>
      <c r="U3" s="5">
        <v>0.94120000000000004</v>
      </c>
      <c r="V3" s="5">
        <v>1.0223899999999999</v>
      </c>
      <c r="W3" s="5">
        <v>0.96684000000000003</v>
      </c>
      <c r="X3" s="5">
        <f t="shared" si="4"/>
        <v>0.97680999999999996</v>
      </c>
      <c r="Y3" s="5" t="str">
        <f ca="1">IFERROR(_xludf.STDEV.S(U3:W3)/AVERAGE(U3:W3)*100,"")</f>
        <v/>
      </c>
      <c r="Z3" s="5">
        <v>3.0641699999999998</v>
      </c>
      <c r="AA3" s="5">
        <v>3.12303</v>
      </c>
      <c r="AB3" s="5">
        <v>3.4039999999999999</v>
      </c>
      <c r="AC3" s="5">
        <f t="shared" si="5"/>
        <v>3.1970666666666667</v>
      </c>
      <c r="AD3" s="5" t="str">
        <f ca="1">IFERROR(_xludf.STDEV.S(Z3:AB3)/AVERAGE(Z3:AB3)*100,"")</f>
        <v/>
      </c>
      <c r="AE3" s="5">
        <v>1.3170900000000001</v>
      </c>
      <c r="AF3" s="5">
        <v>1.27345</v>
      </c>
      <c r="AG3" s="5">
        <v>1.40219</v>
      </c>
      <c r="AH3" s="5">
        <f t="shared" si="6"/>
        <v>1.33091</v>
      </c>
      <c r="AI3" s="5" t="str">
        <f ca="1">IFERROR(_xludf.STDEV.S(AE3:AG3)/AVERAGE(AE3:AG3)*100,"")</f>
        <v/>
      </c>
      <c r="AJ3" s="5">
        <v>0.38847999999999999</v>
      </c>
      <c r="AK3" s="5">
        <v>0.34499999999999997</v>
      </c>
      <c r="AL3" s="5">
        <v>0.37341000000000002</v>
      </c>
      <c r="AM3" s="5">
        <f t="shared" si="7"/>
        <v>0.36896333333333331</v>
      </c>
      <c r="AN3" s="5" t="str">
        <f ca="1">IFERROR(_xludf.STDEV.S(AJ3:AL3)/AVERAGE(AJ3:AL3)*100,"")</f>
        <v/>
      </c>
    </row>
    <row r="4" spans="1:40">
      <c r="A4" s="4" t="s">
        <v>43</v>
      </c>
      <c r="B4" s="4" t="s">
        <v>41</v>
      </c>
      <c r="C4" s="5">
        <v>38.613723749999998</v>
      </c>
      <c r="D4" s="5">
        <v>54.550472259999999</v>
      </c>
      <c r="E4" s="5">
        <v>58.337944030000003</v>
      </c>
      <c r="F4" s="5">
        <f t="shared" si="0"/>
        <v>50.500713346666664</v>
      </c>
      <c r="G4" s="5" t="str">
        <f ca="1">IFERROR(_xludf.STDEV.S(C4:E4)/AVERAGE(C4:E4)*100,"")</f>
        <v/>
      </c>
      <c r="H4" s="5" t="str">
        <f t="shared" si="1"/>
        <v>MDV-positive</v>
      </c>
      <c r="I4" s="5">
        <f>INDEX(Bird_Summary!$D$2:$D$24,MATCH(A4,Bird_Summary!$A$2:$A$24,0))</f>
        <v>91.596520863019151</v>
      </c>
      <c r="J4" s="5" t="str">
        <f>INDEX(Bird_Summary!$F$2:$F$24,MATCH(A4,Bird_Summary!$A$2:$A$24,0))</f>
        <v>Lower</v>
      </c>
      <c r="K4" s="5">
        <v>1.09894</v>
      </c>
      <c r="L4" s="5">
        <v>1.00684</v>
      </c>
      <c r="M4" s="5">
        <v>1.0551699999999999</v>
      </c>
      <c r="N4" s="5">
        <f t="shared" si="2"/>
        <v>1.05365</v>
      </c>
      <c r="O4" s="5" t="str">
        <f ca="1">IFERROR(_xludf.STDEV.S(K4:M4)/AVERAGE(K4:M4)*100,"")</f>
        <v/>
      </c>
      <c r="P4" s="5">
        <v>0.13342000000000001</v>
      </c>
      <c r="Q4" s="5">
        <v>0.13089999999999999</v>
      </c>
      <c r="R4" s="5">
        <v>0.13879</v>
      </c>
      <c r="S4" s="5">
        <f t="shared" si="3"/>
        <v>0.13436999999999999</v>
      </c>
      <c r="T4" s="5" t="str">
        <f ca="1">IFERROR(_xludf.STDEV.S(P4:R4)/AVERAGE(P4:R4)*100,"")</f>
        <v/>
      </c>
      <c r="U4" s="5">
        <v>0.65012000000000003</v>
      </c>
      <c r="V4" s="5">
        <v>0.57538999999999996</v>
      </c>
      <c r="W4" s="5">
        <v>0.61382000000000003</v>
      </c>
      <c r="X4" s="5">
        <f t="shared" si="4"/>
        <v>0.61310999999999993</v>
      </c>
      <c r="Y4" s="5" t="str">
        <f ca="1">IFERROR(_xludf.STDEV.S(U4:W4)/AVERAGE(U4:W4)*100,"")</f>
        <v/>
      </c>
      <c r="Z4" s="5">
        <v>2.2783000000000002</v>
      </c>
      <c r="AA4" s="5">
        <v>2.4274300000000002</v>
      </c>
      <c r="AB4" s="5">
        <v>2.1917499999999999</v>
      </c>
      <c r="AC4" s="5">
        <f t="shared" si="5"/>
        <v>2.2991600000000001</v>
      </c>
      <c r="AD4" s="5" t="str">
        <f ca="1">IFERROR(_xludf.STDEV.S(Z4:AB4)/AVERAGE(Z4:AB4)*100,"")</f>
        <v/>
      </c>
      <c r="AE4" s="5">
        <v>1.6597900000000001</v>
      </c>
      <c r="AF4" s="5">
        <v>1.48397</v>
      </c>
      <c r="AG4" s="5">
        <v>1.54922</v>
      </c>
      <c r="AH4" s="5">
        <f t="shared" si="6"/>
        <v>1.5643266666666669</v>
      </c>
      <c r="AI4" s="5" t="str">
        <f ca="1">IFERROR(_xludf.STDEV.S(AE4:AG4)/AVERAGE(AE4:AG4)*100,"")</f>
        <v/>
      </c>
      <c r="AJ4" s="5">
        <v>0.23946000000000001</v>
      </c>
      <c r="AK4" s="5">
        <v>0.22581999999999999</v>
      </c>
      <c r="AL4" s="5">
        <v>0.21490000000000001</v>
      </c>
      <c r="AM4" s="5">
        <f t="shared" si="7"/>
        <v>0.22672666666666666</v>
      </c>
      <c r="AN4" s="5" t="str">
        <f ca="1">IFERROR(_xludf.STDEV.S(AJ4:AL4)/AVERAGE(AJ4:AL4)*100,"")</f>
        <v/>
      </c>
    </row>
    <row r="5" spans="1:40">
      <c r="A5" s="4" t="s">
        <v>43</v>
      </c>
      <c r="B5" s="4" t="s">
        <v>42</v>
      </c>
      <c r="C5" s="5">
        <v>191.88757319999999</v>
      </c>
      <c r="D5" s="5">
        <v>166.5432892</v>
      </c>
      <c r="E5" s="5">
        <v>139.97334290000001</v>
      </c>
      <c r="F5" s="5">
        <f t="shared" si="0"/>
        <v>166.13473510000003</v>
      </c>
      <c r="G5" s="5" t="str">
        <f ca="1">IFERROR(_xludf.STDEV.S(C5:E5)/AVERAGE(C5:E5)*100,"")</f>
        <v/>
      </c>
      <c r="H5" s="5" t="str">
        <f t="shared" si="1"/>
        <v>MDV-positive</v>
      </c>
      <c r="I5" s="5">
        <f>INDEX(Bird_Summary!$D$2:$D$24,MATCH(A5,Bird_Summary!$A$2:$A$24,0))</f>
        <v>91.596520863019151</v>
      </c>
      <c r="J5" s="5" t="str">
        <f>INDEX(Bird_Summary!$F$2:$F$24,MATCH(A5,Bird_Summary!$A$2:$A$24,0))</f>
        <v>Lower</v>
      </c>
      <c r="K5" s="5">
        <v>2.0139200000000002</v>
      </c>
      <c r="L5" s="5">
        <v>1.89253</v>
      </c>
      <c r="M5" s="5">
        <v>1.9424699999999999</v>
      </c>
      <c r="N5" s="5">
        <f t="shared" si="2"/>
        <v>1.9496400000000003</v>
      </c>
      <c r="O5" s="5" t="str">
        <f ca="1">IFERROR(_xludf.STDEV.S(K5:M5)/AVERAGE(K5:M5)*100,"")</f>
        <v/>
      </c>
      <c r="P5" s="5">
        <v>0.20169999999999999</v>
      </c>
      <c r="Q5" s="5">
        <v>0.21895999999999999</v>
      </c>
      <c r="R5" s="5">
        <v>0.19491</v>
      </c>
      <c r="S5" s="5">
        <f t="shared" si="3"/>
        <v>0.20518999999999998</v>
      </c>
      <c r="T5" s="5" t="str">
        <f ca="1">IFERROR(_xludf.STDEV.S(P5:R5)/AVERAGE(P5:R5)*100,"")</f>
        <v/>
      </c>
      <c r="U5" s="5">
        <v>0.71243999999999996</v>
      </c>
      <c r="V5" s="5">
        <v>0.76859</v>
      </c>
      <c r="W5" s="5">
        <v>0.74382999999999999</v>
      </c>
      <c r="X5" s="5">
        <f t="shared" si="4"/>
        <v>0.74162000000000006</v>
      </c>
      <c r="Y5" s="5" t="str">
        <f ca="1">IFERROR(_xludf.STDEV.S(U5:W5)/AVERAGE(U5:W5)*100,"")</f>
        <v/>
      </c>
      <c r="Z5" s="5">
        <v>1.7717499999999999</v>
      </c>
      <c r="AA5" s="5">
        <v>1.6817899999999999</v>
      </c>
      <c r="AB5" s="5">
        <v>1.56454</v>
      </c>
      <c r="AC5" s="5">
        <f t="shared" si="5"/>
        <v>1.6726933333333331</v>
      </c>
      <c r="AD5" s="5" t="str">
        <f ca="1">IFERROR(_xludf.STDEV.S(Z5:AB5)/AVERAGE(Z5:AB5)*100,"")</f>
        <v/>
      </c>
      <c r="AE5" s="5">
        <v>1.4859</v>
      </c>
      <c r="AF5" s="5">
        <v>1.6064400000000001</v>
      </c>
      <c r="AG5" s="5">
        <v>1.62279</v>
      </c>
      <c r="AH5" s="5">
        <f t="shared" si="6"/>
        <v>1.5717100000000002</v>
      </c>
      <c r="AI5" s="5" t="str">
        <f ca="1">IFERROR(_xludf.STDEV.S(AE5:AG5)/AVERAGE(AE5:AG5)*100,"")</f>
        <v/>
      </c>
      <c r="AJ5" s="5">
        <v>0.14951999999999999</v>
      </c>
      <c r="AK5" s="5">
        <v>0.14385999999999999</v>
      </c>
      <c r="AL5" s="5">
        <v>0.14057</v>
      </c>
      <c r="AM5" s="5">
        <f t="shared" si="7"/>
        <v>0.14464999999999997</v>
      </c>
      <c r="AN5" s="5" t="str">
        <f ca="1">IFERROR(_xludf.STDEV.S(AJ5:AL5)/AVERAGE(AJ5:AL5)*100,"")</f>
        <v/>
      </c>
    </row>
    <row r="6" spans="1:40">
      <c r="A6" s="4" t="s">
        <v>44</v>
      </c>
      <c r="B6" s="4" t="s">
        <v>41</v>
      </c>
      <c r="C6" s="5">
        <v>1128.212448</v>
      </c>
      <c r="D6" s="5">
        <v>1125.7523349999999</v>
      </c>
      <c r="E6" s="5">
        <v>1176.418823</v>
      </c>
      <c r="F6" s="5">
        <f t="shared" si="0"/>
        <v>1143.461202</v>
      </c>
      <c r="G6" s="5" t="str">
        <f ca="1">IFERROR(_xludf.STDEV.S(C6:E6)/AVERAGE(C6:E6)*100,"")</f>
        <v/>
      </c>
      <c r="H6" s="5" t="str">
        <f t="shared" si="1"/>
        <v>MDV-positive</v>
      </c>
      <c r="I6" s="5">
        <f>INDEX(Bird_Summary!$D$2:$D$24,MATCH(A6,Bird_Summary!$A$2:$A$24,0))</f>
        <v>521.52354804076663</v>
      </c>
      <c r="J6" s="5" t="str">
        <f>INDEX(Bird_Summary!$F$2:$F$24,MATCH(A6,Bird_Summary!$A$2:$A$24,0))</f>
        <v>Lower</v>
      </c>
      <c r="K6" s="5">
        <v>0.77049999999999996</v>
      </c>
      <c r="L6" s="5">
        <v>0.73016999999999999</v>
      </c>
      <c r="M6" s="5">
        <v>0.75680000000000003</v>
      </c>
      <c r="N6" s="5">
        <f t="shared" si="2"/>
        <v>0.75248999999999999</v>
      </c>
      <c r="O6" s="5" t="str">
        <f ca="1">IFERROR(_xludf.STDEV.S(K6:M6)/AVERAGE(K6:M6)*100,"")</f>
        <v/>
      </c>
      <c r="P6" s="5">
        <v>0.10034</v>
      </c>
      <c r="Q6" s="5">
        <v>9.9269999999999997E-2</v>
      </c>
      <c r="R6" s="5">
        <v>9.3439999999999995E-2</v>
      </c>
      <c r="S6" s="5">
        <f t="shared" si="3"/>
        <v>9.7683333333333344E-2</v>
      </c>
      <c r="T6" s="5" t="str">
        <f ca="1">IFERROR(_xludf.STDEV.S(P6:R6)/AVERAGE(P6:R6)*100,"")</f>
        <v/>
      </c>
      <c r="U6" s="5">
        <v>1.5304199999999999</v>
      </c>
      <c r="V6" s="5">
        <v>1.44049</v>
      </c>
      <c r="W6" s="5">
        <v>1.5206200000000001</v>
      </c>
      <c r="X6" s="5">
        <f t="shared" si="4"/>
        <v>1.4971766666666666</v>
      </c>
      <c r="Y6" s="5" t="str">
        <f ca="1">IFERROR(_xludf.STDEV.S(U6:W6)/AVERAGE(U6:W6)*100,"")</f>
        <v/>
      </c>
      <c r="Z6" s="5">
        <v>1.78468</v>
      </c>
      <c r="AA6" s="5">
        <v>1.5905499999999999</v>
      </c>
      <c r="AB6" s="5">
        <v>1.7429699999999999</v>
      </c>
      <c r="AC6" s="5">
        <f t="shared" si="5"/>
        <v>1.7060666666666666</v>
      </c>
      <c r="AD6" s="5" t="str">
        <f ca="1">IFERROR(_xludf.STDEV.S(Z6:AB6)/AVERAGE(Z6:AB6)*100,"")</f>
        <v/>
      </c>
      <c r="AE6" s="5">
        <v>1.71079</v>
      </c>
      <c r="AF6" s="5">
        <v>1.5533999999999999</v>
      </c>
      <c r="AG6" s="5">
        <v>1.6023499999999999</v>
      </c>
      <c r="AH6" s="5">
        <f t="shared" si="6"/>
        <v>1.6221800000000002</v>
      </c>
      <c r="AI6" s="5" t="str">
        <f ca="1">IFERROR(_xludf.STDEV.S(AE6:AG6)/AVERAGE(AE6:AG6)*100,"")</f>
        <v/>
      </c>
      <c r="AJ6" s="5">
        <v>0.15839</v>
      </c>
      <c r="AK6" s="5">
        <v>0.14771000000000001</v>
      </c>
      <c r="AL6" s="5">
        <v>0.15670999999999999</v>
      </c>
      <c r="AM6" s="5">
        <f t="shared" si="7"/>
        <v>0.15427000000000002</v>
      </c>
      <c r="AN6" s="5" t="str">
        <f ca="1">IFERROR(_xludf.STDEV.S(AJ6:AL6)/AVERAGE(AJ6:AL6)*100,"")</f>
        <v/>
      </c>
    </row>
    <row r="7" spans="1:40">
      <c r="A7" s="4" t="s">
        <v>44</v>
      </c>
      <c r="B7" s="4" t="s">
        <v>42</v>
      </c>
      <c r="C7" s="5">
        <v>334.59936520000002</v>
      </c>
      <c r="D7" s="5">
        <v>165.30848689999999</v>
      </c>
      <c r="E7" s="5">
        <v>213.68035889999999</v>
      </c>
      <c r="F7" s="5">
        <f t="shared" si="0"/>
        <v>237.86273700000001</v>
      </c>
      <c r="G7" s="5" t="str">
        <f ca="1">IFERROR(_xludf.STDEV.S(C7:E7)/AVERAGE(C7:E7)*100,"")</f>
        <v/>
      </c>
      <c r="H7" s="5" t="str">
        <f t="shared" si="1"/>
        <v>MDV-positive</v>
      </c>
      <c r="I7" s="5">
        <f>INDEX(Bird_Summary!$D$2:$D$24,MATCH(A7,Bird_Summary!$A$2:$A$24,0))</f>
        <v>521.52354804076663</v>
      </c>
      <c r="J7" s="5" t="str">
        <f>INDEX(Bird_Summary!$F$2:$F$24,MATCH(A7,Bird_Summary!$A$2:$A$24,0))</f>
        <v>Lower</v>
      </c>
      <c r="K7" s="5">
        <v>1.45773</v>
      </c>
      <c r="L7" s="5">
        <v>1.46838</v>
      </c>
      <c r="M7" s="5">
        <v>1.3814</v>
      </c>
      <c r="N7" s="5">
        <f t="shared" si="2"/>
        <v>1.4358366666666667</v>
      </c>
      <c r="O7" s="5" t="str">
        <f ca="1">IFERROR(_xludf.STDEV.S(K7:M7)/AVERAGE(K7:M7)*100,"")</f>
        <v/>
      </c>
      <c r="P7" s="5">
        <v>0.15468000000000001</v>
      </c>
      <c r="Q7" s="5">
        <v>0.14008999999999999</v>
      </c>
      <c r="R7" s="5">
        <v>0.15079000000000001</v>
      </c>
      <c r="S7" s="5">
        <f t="shared" si="3"/>
        <v>0.14851999999999999</v>
      </c>
      <c r="T7" s="5" t="str">
        <f ca="1">IFERROR(_xludf.STDEV.S(P7:R7)/AVERAGE(P7:R7)*100,"")</f>
        <v/>
      </c>
      <c r="U7" s="5">
        <v>1.1137999999999999</v>
      </c>
      <c r="V7" s="5">
        <v>1.12391</v>
      </c>
      <c r="W7" s="5">
        <v>1.03376</v>
      </c>
      <c r="X7" s="5">
        <f t="shared" si="4"/>
        <v>1.09049</v>
      </c>
      <c r="Y7" s="5" t="str">
        <f ca="1">IFERROR(_xludf.STDEV.S(U7:W7)/AVERAGE(U7:W7)*100,"")</f>
        <v/>
      </c>
      <c r="Z7" s="5">
        <v>1.6046800000000001</v>
      </c>
      <c r="AA7" s="5">
        <v>1.73173</v>
      </c>
      <c r="AB7" s="5">
        <v>1.60419</v>
      </c>
      <c r="AC7" s="5">
        <f t="shared" si="5"/>
        <v>1.6468666666666667</v>
      </c>
      <c r="AD7" s="5" t="str">
        <f ca="1">IFERROR(_xludf.STDEV.S(Z7:AB7)/AVERAGE(Z7:AB7)*100,"")</f>
        <v/>
      </c>
      <c r="AE7" s="5">
        <v>2.3104300000000002</v>
      </c>
      <c r="AF7" s="5">
        <v>2.5719699999999999</v>
      </c>
      <c r="AG7" s="5">
        <v>2.5941399999999999</v>
      </c>
      <c r="AH7" s="5">
        <f t="shared" si="6"/>
        <v>2.4921799999999998</v>
      </c>
      <c r="AI7" s="5" t="str">
        <f ca="1">IFERROR(_xludf.STDEV.S(AE7:AG7)/AVERAGE(AE7:AG7)*100,"")</f>
        <v/>
      </c>
      <c r="AJ7" s="5">
        <v>0.20147999999999999</v>
      </c>
      <c r="AK7" s="5">
        <v>0.21379999999999999</v>
      </c>
      <c r="AL7" s="5">
        <v>0.21757000000000001</v>
      </c>
      <c r="AM7" s="5">
        <f t="shared" si="7"/>
        <v>0.21095</v>
      </c>
      <c r="AN7" s="5" t="str">
        <f ca="1">IFERROR(_xludf.STDEV.S(AJ7:AL7)/AVERAGE(AJ7:AL7)*100,"")</f>
        <v/>
      </c>
    </row>
    <row r="8" spans="1:40">
      <c r="A8" s="4" t="s">
        <v>45</v>
      </c>
      <c r="B8" s="4" t="s">
        <v>41</v>
      </c>
      <c r="C8" s="5">
        <v>1115.1435550000001</v>
      </c>
      <c r="D8" s="5">
        <v>2349.7329100000002</v>
      </c>
      <c r="E8" s="5">
        <v>1994.1723629999999</v>
      </c>
      <c r="F8" s="5">
        <f t="shared" si="0"/>
        <v>1819.6829426666666</v>
      </c>
      <c r="G8" s="5" t="str">
        <f ca="1">IFERROR(_xludf.STDEV.S(C8:E8)/AVERAGE(C8:E8)*100,"")</f>
        <v/>
      </c>
      <c r="H8" s="5" t="str">
        <f t="shared" si="1"/>
        <v>MDV-positive</v>
      </c>
      <c r="I8" s="5">
        <f>INDEX(Bird_Summary!$D$2:$D$24,MATCH(A8,Bird_Summary!$A$2:$A$24,0))</f>
        <v>203.65178798487989</v>
      </c>
      <c r="J8" s="5" t="str">
        <f>INDEX(Bird_Summary!$F$2:$F$24,MATCH(A8,Bird_Summary!$A$2:$A$24,0))</f>
        <v>Lower</v>
      </c>
      <c r="K8" s="5">
        <v>1.4347399999999999</v>
      </c>
      <c r="L8" s="5">
        <v>1.26126</v>
      </c>
      <c r="M8" s="5">
        <v>1.35473</v>
      </c>
      <c r="N8" s="5">
        <f t="shared" si="2"/>
        <v>1.3502433333333332</v>
      </c>
      <c r="O8" s="5" t="str">
        <f ca="1">IFERROR(_xludf.STDEV.S(K8:M8)/AVERAGE(K8:M8)*100,"")</f>
        <v/>
      </c>
      <c r="P8" s="5">
        <v>0.12111</v>
      </c>
      <c r="Q8" s="5">
        <v>0.11871</v>
      </c>
      <c r="R8" s="5">
        <v>0.12665999999999999</v>
      </c>
      <c r="S8" s="5">
        <f t="shared" si="3"/>
        <v>0.12215999999999999</v>
      </c>
      <c r="T8" s="5" t="str">
        <f ca="1">IFERROR(_xludf.STDEV.S(P8:R8)/AVERAGE(P8:R8)*100,"")</f>
        <v/>
      </c>
      <c r="U8" s="5">
        <v>0.90539000000000003</v>
      </c>
      <c r="V8" s="5">
        <v>0.83938000000000001</v>
      </c>
      <c r="W8" s="5">
        <v>0.81808000000000003</v>
      </c>
      <c r="X8" s="5">
        <f t="shared" si="4"/>
        <v>0.85428333333333339</v>
      </c>
      <c r="Y8" s="5" t="str">
        <f ca="1">IFERROR(_xludf.STDEV.S(U8:W8)/AVERAGE(U8:W8)*100,"")</f>
        <v/>
      </c>
      <c r="Z8" s="5">
        <v>1.9537599999999999</v>
      </c>
      <c r="AA8" s="5">
        <v>2.0877699999999999</v>
      </c>
      <c r="AB8" s="5">
        <v>1.9438899999999999</v>
      </c>
      <c r="AC8" s="5">
        <f t="shared" si="5"/>
        <v>1.9951399999999999</v>
      </c>
      <c r="AD8" s="5" t="str">
        <f ca="1">IFERROR(_xludf.STDEV.S(Z8:AB8)/AVERAGE(Z8:AB8)*100,"")</f>
        <v/>
      </c>
      <c r="AE8" s="5">
        <v>0.91846000000000005</v>
      </c>
      <c r="AF8" s="5">
        <v>0.92906999999999995</v>
      </c>
      <c r="AG8" s="5">
        <v>0.85143999999999997</v>
      </c>
      <c r="AH8" s="5">
        <f t="shared" si="6"/>
        <v>0.89965666666666666</v>
      </c>
      <c r="AI8" s="5" t="str">
        <f ca="1">IFERROR(_xludf.STDEV.S(AE8:AG8)/AVERAGE(AE8:AG8)*100,"")</f>
        <v/>
      </c>
      <c r="AJ8" s="5">
        <v>0.35826999999999998</v>
      </c>
      <c r="AK8" s="5">
        <v>0.40215000000000001</v>
      </c>
      <c r="AL8" s="5">
        <v>0.39188000000000001</v>
      </c>
      <c r="AM8" s="5">
        <f t="shared" si="7"/>
        <v>0.38409999999999994</v>
      </c>
      <c r="AN8" s="5" t="str">
        <f ca="1">IFERROR(_xludf.STDEV.S(AJ8:AL8)/AVERAGE(AJ8:AL8)*100,"")</f>
        <v/>
      </c>
    </row>
    <row r="9" spans="1:40">
      <c r="A9" s="4" t="s">
        <v>45</v>
      </c>
      <c r="B9" s="4" t="s">
        <v>42</v>
      </c>
      <c r="C9" s="5">
        <v>10.40617275</v>
      </c>
      <c r="D9" s="5">
        <v>43.414611819999998</v>
      </c>
      <c r="E9" s="5">
        <v>14.554946899999999</v>
      </c>
      <c r="F9" s="5">
        <f t="shared" si="0"/>
        <v>22.791910490000003</v>
      </c>
      <c r="G9" s="5" t="str">
        <f ca="1">IFERROR(_xludf.STDEV.S(C9:E9)/AVERAGE(C9:E9)*100,"")</f>
        <v/>
      </c>
      <c r="H9" s="5" t="str">
        <f t="shared" si="1"/>
        <v>MDV-positive</v>
      </c>
      <c r="I9" s="5">
        <f>INDEX(Bird_Summary!$D$2:$D$24,MATCH(A9,Bird_Summary!$A$2:$A$24,0))</f>
        <v>203.65178798487989</v>
      </c>
      <c r="J9" s="5" t="str">
        <f>INDEX(Bird_Summary!$F$2:$F$24,MATCH(A9,Bird_Summary!$A$2:$A$24,0))</f>
        <v>Lower</v>
      </c>
      <c r="K9" s="5">
        <v>2.12344</v>
      </c>
      <c r="L9" s="5">
        <v>2.0085899999999999</v>
      </c>
      <c r="M9" s="5">
        <v>2.2681100000000001</v>
      </c>
      <c r="N9" s="5">
        <f t="shared" si="2"/>
        <v>2.1333800000000003</v>
      </c>
      <c r="O9" s="5" t="str">
        <f ca="1">IFERROR(_xludf.STDEV.S(K9:M9)/AVERAGE(K9:M9)*100,"")</f>
        <v/>
      </c>
      <c r="P9" s="5">
        <v>0.1575</v>
      </c>
      <c r="Q9" s="5">
        <v>0.14576</v>
      </c>
      <c r="R9" s="5">
        <v>0.15448000000000001</v>
      </c>
      <c r="S9" s="5">
        <f t="shared" si="3"/>
        <v>0.15257999999999999</v>
      </c>
      <c r="T9" s="5" t="str">
        <f ca="1">IFERROR(_xludf.STDEV.S(P9:R9)/AVERAGE(P9:R9)*100,"")</f>
        <v/>
      </c>
      <c r="U9" s="5">
        <v>1.41151</v>
      </c>
      <c r="V9" s="5">
        <v>1.5919300000000001</v>
      </c>
      <c r="W9" s="5">
        <v>1.49952</v>
      </c>
      <c r="X9" s="5">
        <f t="shared" si="4"/>
        <v>1.5009866666666667</v>
      </c>
      <c r="Y9" s="5" t="str">
        <f ca="1">IFERROR(_xludf.STDEV.S(U9:W9)/AVERAGE(U9:W9)*100,"")</f>
        <v/>
      </c>
      <c r="Z9" s="5">
        <v>1.7604299999999999</v>
      </c>
      <c r="AA9" s="5">
        <v>1.56955</v>
      </c>
      <c r="AB9" s="5">
        <v>1.59195</v>
      </c>
      <c r="AC9" s="5">
        <f t="shared" si="5"/>
        <v>1.6406433333333332</v>
      </c>
      <c r="AD9" s="5" t="str">
        <f ca="1">IFERROR(_xludf.STDEV.S(Z9:AB9)/AVERAGE(Z9:AB9)*100,"")</f>
        <v/>
      </c>
      <c r="AE9" s="5">
        <v>1.2463900000000001</v>
      </c>
      <c r="AF9" s="5">
        <v>1.27847</v>
      </c>
      <c r="AG9" s="5">
        <v>1.3440300000000001</v>
      </c>
      <c r="AH9" s="5">
        <f t="shared" si="6"/>
        <v>1.2896300000000001</v>
      </c>
      <c r="AI9" s="5" t="str">
        <f ca="1">IFERROR(_xludf.STDEV.S(AE9:AG9)/AVERAGE(AE9:AG9)*100,"")</f>
        <v/>
      </c>
      <c r="AJ9" s="5">
        <v>0.27840999999999999</v>
      </c>
      <c r="AK9" s="5">
        <v>0.26778999999999997</v>
      </c>
      <c r="AL9" s="5">
        <v>0.28077999999999997</v>
      </c>
      <c r="AM9" s="5">
        <f t="shared" si="7"/>
        <v>0.27566000000000002</v>
      </c>
      <c r="AN9" s="5" t="str">
        <f ca="1">IFERROR(_xludf.STDEV.S(AJ9:AL9)/AVERAGE(AJ9:AL9)*100,"")</f>
        <v/>
      </c>
    </row>
    <row r="10" spans="1:40">
      <c r="A10" s="4" t="s">
        <v>46</v>
      </c>
      <c r="B10" s="4" t="s">
        <v>41</v>
      </c>
      <c r="C10" s="5">
        <v>70588.6875</v>
      </c>
      <c r="D10" s="5">
        <v>81100.804690000004</v>
      </c>
      <c r="E10" s="5">
        <v>56449.425779999998</v>
      </c>
      <c r="F10" s="5">
        <f t="shared" si="0"/>
        <v>69379.639323333337</v>
      </c>
      <c r="G10" s="5" t="str">
        <f ca="1">IFERROR(_xludf.STDEV.S(C10:E10)/AVERAGE(C10:E10)*100,"")</f>
        <v/>
      </c>
      <c r="H10" s="5" t="str">
        <f t="shared" si="1"/>
        <v>MDV-positive</v>
      </c>
      <c r="I10" s="5">
        <f>INDEX(Bird_Summary!$D$2:$D$24,MATCH(A10,Bird_Summary!$A$2:$A$24,0))</f>
        <v>11446.099452572162</v>
      </c>
      <c r="J10" s="5" t="str">
        <f>INDEX(Bird_Summary!$F$2:$F$24,MATCH(A10,Bird_Summary!$A$2:$A$24,0))</f>
        <v>Higher</v>
      </c>
      <c r="K10" s="5">
        <v>0.75529999999999997</v>
      </c>
      <c r="L10" s="5">
        <v>0.69962999999999997</v>
      </c>
      <c r="M10" s="5">
        <v>0.71411000000000002</v>
      </c>
      <c r="N10" s="5">
        <f t="shared" si="2"/>
        <v>0.72301333333333329</v>
      </c>
      <c r="O10" s="5" t="str">
        <f ca="1">IFERROR(_xludf.STDEV.S(K10:M10)/AVERAGE(K10:M10)*100,"")</f>
        <v/>
      </c>
      <c r="P10" s="5">
        <v>8.2890000000000005E-2</v>
      </c>
      <c r="Q10" s="5">
        <v>8.9389999999999997E-2</v>
      </c>
      <c r="R10" s="5">
        <v>9.0219999999999995E-2</v>
      </c>
      <c r="S10" s="5">
        <f t="shared" si="3"/>
        <v>8.7499999999999981E-2</v>
      </c>
      <c r="T10" s="5" t="str">
        <f ca="1">IFERROR(_xludf.STDEV.S(P10:R10)/AVERAGE(P10:R10)*100,"")</f>
        <v/>
      </c>
      <c r="U10" s="5">
        <v>3.97967</v>
      </c>
      <c r="V10" s="5">
        <v>4.29427</v>
      </c>
      <c r="W10" s="5">
        <v>3.9597600000000002</v>
      </c>
      <c r="X10" s="5">
        <f t="shared" si="4"/>
        <v>4.0778999999999996</v>
      </c>
      <c r="Y10" s="5" t="str">
        <f ca="1">IFERROR(_xludf.STDEV.S(U10:W10)/AVERAGE(U10:W10)*100,"")</f>
        <v/>
      </c>
      <c r="Z10" s="5">
        <v>6.0634499999999996</v>
      </c>
      <c r="AA10" s="5">
        <v>6.37845</v>
      </c>
      <c r="AB10" s="5">
        <v>6.1379299999999999</v>
      </c>
      <c r="AC10" s="5">
        <f t="shared" si="5"/>
        <v>6.1932766666666668</v>
      </c>
      <c r="AD10" s="5" t="str">
        <f ca="1">IFERROR(_xludf.STDEV.S(Z10:AB10)/AVERAGE(Z10:AB10)*100,"")</f>
        <v/>
      </c>
      <c r="AE10" s="5">
        <v>5.0358000000000001</v>
      </c>
      <c r="AF10" s="5">
        <v>5.0257699999999996</v>
      </c>
      <c r="AG10" s="5">
        <v>5.25373</v>
      </c>
      <c r="AH10" s="5">
        <f t="shared" si="6"/>
        <v>5.1051000000000002</v>
      </c>
      <c r="AI10" s="5" t="str">
        <f ca="1">IFERROR(_xludf.STDEV.S(AE10:AG10)/AVERAGE(AE10:AG10)*100,"")</f>
        <v/>
      </c>
      <c r="AJ10" s="5">
        <v>0.64854999999999996</v>
      </c>
      <c r="AK10" s="5">
        <v>0.68088000000000004</v>
      </c>
      <c r="AL10" s="5">
        <v>0.68962999999999997</v>
      </c>
      <c r="AM10" s="5">
        <f t="shared" si="7"/>
        <v>0.67301999999999984</v>
      </c>
      <c r="AN10" s="5" t="str">
        <f ca="1">IFERROR(_xludf.STDEV.S(AJ10:AL10)/AVERAGE(AJ10:AL10)*100,"")</f>
        <v/>
      </c>
    </row>
    <row r="11" spans="1:40">
      <c r="A11" s="4" t="s">
        <v>46</v>
      </c>
      <c r="B11" s="4" t="s">
        <v>42</v>
      </c>
      <c r="C11" s="5">
        <v>1104.6823730000001</v>
      </c>
      <c r="D11" s="5">
        <v>1689.093384</v>
      </c>
      <c r="E11" s="5">
        <v>2871.2807619999999</v>
      </c>
      <c r="F11" s="5">
        <f t="shared" si="0"/>
        <v>1888.352173</v>
      </c>
      <c r="G11" s="5" t="str">
        <f ca="1">IFERROR(_xludf.STDEV.S(C11:E11)/AVERAGE(C11:E11)*100,"")</f>
        <v/>
      </c>
      <c r="H11" s="5" t="str">
        <f t="shared" si="1"/>
        <v>MDV-positive</v>
      </c>
      <c r="I11" s="5">
        <f>INDEX(Bird_Summary!$D$2:$D$24,MATCH(A11,Bird_Summary!$A$2:$A$24,0))</f>
        <v>11446.099452572162</v>
      </c>
      <c r="J11" s="5" t="str">
        <f>INDEX(Bird_Summary!$F$2:$F$24,MATCH(A11,Bird_Summary!$A$2:$A$24,0))</f>
        <v>Higher</v>
      </c>
      <c r="K11" s="5">
        <v>0.98133000000000004</v>
      </c>
      <c r="L11" s="5">
        <v>1.0238799999999999</v>
      </c>
      <c r="M11" s="5">
        <v>0.94688000000000005</v>
      </c>
      <c r="N11" s="5">
        <f t="shared" si="2"/>
        <v>0.98403000000000007</v>
      </c>
      <c r="O11" s="5" t="str">
        <f ca="1">IFERROR(_xludf.STDEV.S(K11:M11)/AVERAGE(K11:M11)*100,"")</f>
        <v/>
      </c>
      <c r="P11" s="5">
        <v>0.15273999999999999</v>
      </c>
      <c r="Q11" s="5">
        <v>0.16194</v>
      </c>
      <c r="R11" s="5">
        <v>0.14554</v>
      </c>
      <c r="S11" s="5">
        <f t="shared" si="3"/>
        <v>0.15340666666666666</v>
      </c>
      <c r="T11" s="5" t="str">
        <f ca="1">IFERROR(_xludf.STDEV.S(P11:R11)/AVERAGE(P11:R11)*100,"")</f>
        <v/>
      </c>
      <c r="U11" s="5">
        <v>1.9285600000000001</v>
      </c>
      <c r="V11" s="5">
        <v>2.1631100000000001</v>
      </c>
      <c r="W11" s="5">
        <v>1.95844</v>
      </c>
      <c r="X11" s="5">
        <f t="shared" si="4"/>
        <v>2.0167033333333335</v>
      </c>
      <c r="Y11" s="5" t="str">
        <f ca="1">IFERROR(_xludf.STDEV.S(U11:W11)/AVERAGE(U11:W11)*100,"")</f>
        <v/>
      </c>
      <c r="Z11" s="5">
        <v>5.0256100000000004</v>
      </c>
      <c r="AA11" s="5">
        <v>5.6113600000000003</v>
      </c>
      <c r="AB11" s="5">
        <v>5.0838700000000001</v>
      </c>
      <c r="AC11" s="5">
        <f t="shared" si="5"/>
        <v>5.2402800000000012</v>
      </c>
      <c r="AD11" s="5" t="str">
        <f ca="1">IFERROR(_xludf.STDEV.S(Z11:AB11)/AVERAGE(Z11:AB11)*100,"")</f>
        <v/>
      </c>
      <c r="AE11" s="5">
        <v>6.6206899999999997</v>
      </c>
      <c r="AF11" s="5">
        <v>6.4726699999999999</v>
      </c>
      <c r="AG11" s="5">
        <v>6.2757199999999997</v>
      </c>
      <c r="AH11" s="5">
        <f t="shared" si="6"/>
        <v>6.4563600000000001</v>
      </c>
      <c r="AI11" s="5" t="str">
        <f ca="1">IFERROR(_xludf.STDEV.S(AE11:AG11)/AVERAGE(AE11:AG11)*100,"")</f>
        <v/>
      </c>
      <c r="AJ11" s="5">
        <v>0.88670000000000004</v>
      </c>
      <c r="AK11" s="5">
        <v>0.89993000000000001</v>
      </c>
      <c r="AL11" s="5">
        <v>0.81557000000000002</v>
      </c>
      <c r="AM11" s="5">
        <f t="shared" si="7"/>
        <v>0.86740000000000006</v>
      </c>
      <c r="AN11" s="5" t="str">
        <f ca="1">IFERROR(_xludf.STDEV.S(AJ11:AL11)/AVERAGE(AJ11:AL11)*100,"")</f>
        <v/>
      </c>
    </row>
    <row r="12" spans="1:40">
      <c r="A12" s="4" t="s">
        <v>47</v>
      </c>
      <c r="B12" s="4" t="s">
        <v>41</v>
      </c>
      <c r="C12" s="5">
        <v>506.56121830000001</v>
      </c>
      <c r="D12" s="5">
        <v>429.5830383</v>
      </c>
      <c r="E12" s="5">
        <v>433.49032590000002</v>
      </c>
      <c r="F12" s="5">
        <f t="shared" si="0"/>
        <v>456.54486083333336</v>
      </c>
      <c r="G12" s="5" t="str">
        <f ca="1">IFERROR(_xludf.STDEV.S(C12:E12)/AVERAGE(C12:E12)*100,"")</f>
        <v/>
      </c>
      <c r="H12" s="5" t="str">
        <f t="shared" si="1"/>
        <v>MDV-positive</v>
      </c>
      <c r="I12" s="5">
        <f>INDEX(Bird_Summary!$D$2:$D$24,MATCH(A12,Bird_Summary!$A$2:$A$24,0))</f>
        <v>1623.6618265383202</v>
      </c>
      <c r="J12" s="5" t="str">
        <f>INDEX(Bird_Summary!$F$2:$F$24,MATCH(A12,Bird_Summary!$A$2:$A$24,0))</f>
        <v>Lower</v>
      </c>
      <c r="K12" s="5">
        <v>1.42073</v>
      </c>
      <c r="L12" s="5">
        <v>1.3086899999999999</v>
      </c>
      <c r="M12" s="5">
        <v>1.3651599999999999</v>
      </c>
      <c r="N12" s="5">
        <f t="shared" si="2"/>
        <v>1.3648600000000002</v>
      </c>
      <c r="O12" s="5" t="str">
        <f ca="1">IFERROR(_xludf.STDEV.S(K12:M12)/AVERAGE(K12:M12)*100,"")</f>
        <v/>
      </c>
      <c r="P12" s="5">
        <v>0.12293999999999999</v>
      </c>
      <c r="Q12" s="5">
        <v>0.13979</v>
      </c>
      <c r="R12" s="5">
        <v>0.13123000000000001</v>
      </c>
      <c r="S12" s="5">
        <f t="shared" si="3"/>
        <v>0.13132000000000002</v>
      </c>
      <c r="T12" s="5" t="str">
        <f ca="1">IFERROR(_xludf.STDEV.S(P12:R12)/AVERAGE(P12:R12)*100,"")</f>
        <v/>
      </c>
      <c r="U12" s="5">
        <v>1.1653800000000001</v>
      </c>
      <c r="V12" s="5">
        <v>1.17608</v>
      </c>
      <c r="W12" s="5">
        <v>1.26997</v>
      </c>
      <c r="X12" s="5">
        <f t="shared" si="4"/>
        <v>1.20381</v>
      </c>
      <c r="Y12" s="5" t="str">
        <f ca="1">IFERROR(_xludf.STDEV.S(U12:W12)/AVERAGE(U12:W12)*100,"")</f>
        <v/>
      </c>
      <c r="Z12" s="5">
        <v>2.07742</v>
      </c>
      <c r="AA12" s="5">
        <v>2.06271</v>
      </c>
      <c r="AB12" s="5">
        <v>1.9027400000000001</v>
      </c>
      <c r="AC12" s="5">
        <f t="shared" si="5"/>
        <v>2.0142900000000004</v>
      </c>
      <c r="AD12" s="5" t="str">
        <f ca="1">IFERROR(_xludf.STDEV.S(Z12:AB12)/AVERAGE(Z12:AB12)*100,"")</f>
        <v/>
      </c>
      <c r="AE12" s="5">
        <v>0.90844999999999998</v>
      </c>
      <c r="AF12" s="5">
        <v>0.92140999999999995</v>
      </c>
      <c r="AG12" s="5">
        <v>0.97577000000000003</v>
      </c>
      <c r="AH12" s="5">
        <f t="shared" si="6"/>
        <v>0.93520999999999999</v>
      </c>
      <c r="AI12" s="5" t="str">
        <f ca="1">IFERROR(_xludf.STDEV.S(AE12:AG12)/AVERAGE(AE12:AG12)*100,"")</f>
        <v/>
      </c>
      <c r="AJ12" s="5">
        <v>0.15898999999999999</v>
      </c>
      <c r="AK12" s="5">
        <v>0.17860000000000001</v>
      </c>
      <c r="AL12" s="5">
        <v>0.17484</v>
      </c>
      <c r="AM12" s="5">
        <f t="shared" si="7"/>
        <v>0.17080999999999999</v>
      </c>
      <c r="AN12" s="5" t="str">
        <f ca="1">IFERROR(_xludf.STDEV.S(AJ12:AL12)/AVERAGE(AJ12:AL12)*100,"")</f>
        <v/>
      </c>
    </row>
    <row r="13" spans="1:40">
      <c r="A13" s="4" t="s">
        <v>47</v>
      </c>
      <c r="B13" s="4" t="s">
        <v>42</v>
      </c>
      <c r="C13" s="5">
        <v>4286.9135740000002</v>
      </c>
      <c r="D13" s="5">
        <v>6863.7626950000003</v>
      </c>
      <c r="E13" s="5">
        <v>6172.5571289999998</v>
      </c>
      <c r="F13" s="5">
        <f t="shared" si="0"/>
        <v>5774.4111326666671</v>
      </c>
      <c r="G13" s="5" t="str">
        <f ca="1">IFERROR(_xludf.STDEV.S(C13:E13)/AVERAGE(C13:E13)*100,"")</f>
        <v/>
      </c>
      <c r="H13" s="5" t="str">
        <f t="shared" si="1"/>
        <v>MDV-positive</v>
      </c>
      <c r="I13" s="5">
        <f>INDEX(Bird_Summary!$D$2:$D$24,MATCH(A13,Bird_Summary!$A$2:$A$24,0))</f>
        <v>1623.6618265383202</v>
      </c>
      <c r="J13" s="5" t="str">
        <f>INDEX(Bird_Summary!$F$2:$F$24,MATCH(A13,Bird_Summary!$A$2:$A$24,0))</f>
        <v>Lower</v>
      </c>
      <c r="K13" s="5">
        <v>1.8285499999999999</v>
      </c>
      <c r="L13" s="5">
        <v>1.7312000000000001</v>
      </c>
      <c r="M13" s="5">
        <v>1.92761</v>
      </c>
      <c r="N13" s="5">
        <f t="shared" si="2"/>
        <v>1.8291200000000003</v>
      </c>
      <c r="O13" s="5" t="str">
        <f ca="1">IFERROR(_xludf.STDEV.S(K13:M13)/AVERAGE(K13:M13)*100,"")</f>
        <v/>
      </c>
      <c r="P13" s="5">
        <v>0.17879999999999999</v>
      </c>
      <c r="Q13" s="5">
        <v>0.17383000000000001</v>
      </c>
      <c r="R13" s="5">
        <v>0.19012999999999999</v>
      </c>
      <c r="S13" s="5">
        <f t="shared" si="3"/>
        <v>0.18092</v>
      </c>
      <c r="T13" s="5" t="str">
        <f ca="1">IFERROR(_xludf.STDEV.S(P13:R13)/AVERAGE(P13:R13)*100,"")</f>
        <v/>
      </c>
      <c r="U13" s="5">
        <v>2.3922699999999999</v>
      </c>
      <c r="V13" s="5">
        <v>2.2585799999999998</v>
      </c>
      <c r="W13" s="5">
        <v>2.4552499999999999</v>
      </c>
      <c r="X13" s="5">
        <f t="shared" si="4"/>
        <v>2.3687</v>
      </c>
      <c r="Y13" s="5" t="str">
        <f ca="1">IFERROR(_xludf.STDEV.S(U13:W13)/AVERAGE(U13:W13)*100,"")</f>
        <v/>
      </c>
      <c r="Z13" s="5">
        <v>3.2151900000000002</v>
      </c>
      <c r="AA13" s="5">
        <v>3.4174099999999998</v>
      </c>
      <c r="AB13" s="5">
        <v>3.3176100000000002</v>
      </c>
      <c r="AC13" s="5">
        <f t="shared" si="5"/>
        <v>3.3167366666666669</v>
      </c>
      <c r="AD13" s="5" t="str">
        <f ca="1">IFERROR(_xludf.STDEV.S(Z13:AB13)/AVERAGE(Z13:AB13)*100,"")</f>
        <v/>
      </c>
      <c r="AE13" s="5">
        <v>3.7469000000000001</v>
      </c>
      <c r="AF13" s="5">
        <v>3.95614</v>
      </c>
      <c r="AG13" s="5">
        <v>3.7754699999999999</v>
      </c>
      <c r="AH13" s="5">
        <f t="shared" si="6"/>
        <v>3.8261699999999998</v>
      </c>
      <c r="AI13" s="5" t="str">
        <f ca="1">IFERROR(_xludf.STDEV.S(AE13:AG13)/AVERAGE(AE13:AG13)*100,"")</f>
        <v/>
      </c>
      <c r="AJ13" s="5">
        <v>0.35771999999999998</v>
      </c>
      <c r="AK13" s="5">
        <v>0.33546999999999999</v>
      </c>
      <c r="AL13" s="5">
        <v>0.34105999999999997</v>
      </c>
      <c r="AM13" s="5">
        <f t="shared" si="7"/>
        <v>0.34474999999999995</v>
      </c>
      <c r="AN13" s="5" t="str">
        <f ca="1">IFERROR(_xludf.STDEV.S(AJ13:AL13)/AVERAGE(AJ13:AL13)*100,"")</f>
        <v/>
      </c>
    </row>
    <row r="14" spans="1:40">
      <c r="A14" s="4" t="s">
        <v>48</v>
      </c>
      <c r="B14" s="4" t="s">
        <v>41</v>
      </c>
      <c r="C14" s="5">
        <v>11505.13867</v>
      </c>
      <c r="D14" s="5">
        <v>9538.6181639999995</v>
      </c>
      <c r="E14" s="5">
        <v>8874.9277340000008</v>
      </c>
      <c r="F14" s="5">
        <f t="shared" si="0"/>
        <v>9972.8948560000008</v>
      </c>
      <c r="G14" s="5" t="str">
        <f ca="1">IFERROR(_xludf.STDEV.S(C14:E14)/AVERAGE(C14:E14)*100,"")</f>
        <v/>
      </c>
      <c r="H14" s="5" t="str">
        <f t="shared" si="1"/>
        <v>MDV-positive</v>
      </c>
      <c r="I14" s="5">
        <f>INDEX(Bird_Summary!$D$2:$D$24,MATCH(A14,Bird_Summary!$A$2:$A$24,0))</f>
        <v>3803.5544922820145</v>
      </c>
      <c r="J14" s="5" t="str">
        <f>INDEX(Bird_Summary!$F$2:$F$24,MATCH(A14,Bird_Summary!$A$2:$A$24,0))</f>
        <v>Higher</v>
      </c>
      <c r="K14" s="5">
        <v>0.81655999999999995</v>
      </c>
      <c r="L14" s="5">
        <v>0.73097000000000001</v>
      </c>
      <c r="M14" s="5">
        <v>0.75695000000000001</v>
      </c>
      <c r="N14" s="5">
        <f t="shared" si="2"/>
        <v>0.76815999999999995</v>
      </c>
      <c r="O14" s="5" t="str">
        <f ca="1">IFERROR(_xludf.STDEV.S(K14:M14)/AVERAGE(K14:M14)*100,"")</f>
        <v/>
      </c>
      <c r="P14" s="5">
        <v>7.8450000000000006E-2</v>
      </c>
      <c r="Q14" s="5">
        <v>8.2309999999999994E-2</v>
      </c>
      <c r="R14" s="5">
        <v>8.3729999999999999E-2</v>
      </c>
      <c r="S14" s="5">
        <f t="shared" si="3"/>
        <v>8.1496666666666676E-2</v>
      </c>
      <c r="T14" s="5" t="str">
        <f ca="1">IFERROR(_xludf.STDEV.S(P14:R14)/AVERAGE(P14:R14)*100,"")</f>
        <v/>
      </c>
      <c r="U14" s="5">
        <v>2.31419</v>
      </c>
      <c r="V14" s="5">
        <v>2.4081899999999998</v>
      </c>
      <c r="W14" s="5">
        <v>2.4298899999999999</v>
      </c>
      <c r="X14" s="5">
        <f t="shared" si="4"/>
        <v>2.38409</v>
      </c>
      <c r="Y14" s="5" t="str">
        <f ca="1">IFERROR(_xludf.STDEV.S(U14:W14)/AVERAGE(U14:W14)*100,"")</f>
        <v/>
      </c>
      <c r="Z14" s="5">
        <v>6.5457599999999996</v>
      </c>
      <c r="AA14" s="5">
        <v>5.7930999999999999</v>
      </c>
      <c r="AB14" s="5">
        <v>6.2634100000000004</v>
      </c>
      <c r="AC14" s="5">
        <f t="shared" si="5"/>
        <v>6.2007566666666669</v>
      </c>
      <c r="AD14" s="5" t="str">
        <f ca="1">IFERROR(_xludf.STDEV.S(Z14:AB14)/AVERAGE(Z14:AB14)*100,"")</f>
        <v/>
      </c>
      <c r="AE14" s="5">
        <v>5.5831499999999998</v>
      </c>
      <c r="AF14" s="5">
        <v>5.0375500000000004</v>
      </c>
      <c r="AG14" s="5">
        <v>5.5653499999999996</v>
      </c>
      <c r="AH14" s="5">
        <f t="shared" si="6"/>
        <v>5.3953499999999996</v>
      </c>
      <c r="AI14" s="5" t="str">
        <f ca="1">IFERROR(_xludf.STDEV.S(AE14:AG14)/AVERAGE(AE14:AG14)*100,"")</f>
        <v/>
      </c>
      <c r="AJ14" s="5">
        <v>0.55223</v>
      </c>
      <c r="AK14" s="5">
        <v>0.59902</v>
      </c>
      <c r="AL14" s="5">
        <v>0.53841000000000006</v>
      </c>
      <c r="AM14" s="5">
        <f t="shared" si="7"/>
        <v>0.56322000000000005</v>
      </c>
      <c r="AN14" s="5" t="str">
        <f ca="1">IFERROR(_xludf.STDEV.S(AJ14:AL14)/AVERAGE(AJ14:AL14)*100,"")</f>
        <v/>
      </c>
    </row>
    <row r="15" spans="1:40">
      <c r="A15" s="4" t="s">
        <v>48</v>
      </c>
      <c r="B15" s="4" t="s">
        <v>42</v>
      </c>
      <c r="C15" s="5">
        <v>1169.98938</v>
      </c>
      <c r="D15" s="5">
        <v>1464.8240969999999</v>
      </c>
      <c r="E15" s="5">
        <v>1717.0904539999999</v>
      </c>
      <c r="F15" s="5">
        <f t="shared" si="0"/>
        <v>1450.6346436666665</v>
      </c>
      <c r="G15" s="5" t="str">
        <f ca="1">IFERROR(_xludf.STDEV.S(C15:E15)/AVERAGE(C15:E15)*100,"")</f>
        <v/>
      </c>
      <c r="H15" s="5" t="str">
        <f t="shared" si="1"/>
        <v>MDV-positive</v>
      </c>
      <c r="I15" s="5">
        <f>INDEX(Bird_Summary!$D$2:$D$24,MATCH(A15,Bird_Summary!$A$2:$A$24,0))</f>
        <v>3803.5544922820145</v>
      </c>
      <c r="J15" s="5" t="str">
        <f>INDEX(Bird_Summary!$F$2:$F$24,MATCH(A15,Bird_Summary!$A$2:$A$24,0))</f>
        <v>Higher</v>
      </c>
      <c r="K15" s="5">
        <v>1.1368199999999999</v>
      </c>
      <c r="L15" s="5">
        <v>1.04481</v>
      </c>
      <c r="M15" s="5">
        <v>1.0841400000000001</v>
      </c>
      <c r="N15" s="5">
        <f t="shared" si="2"/>
        <v>1.0885900000000002</v>
      </c>
      <c r="O15" s="5" t="str">
        <f ca="1">IFERROR(_xludf.STDEV.S(K15:M15)/AVERAGE(K15:M15)*100,"")</f>
        <v/>
      </c>
      <c r="P15" s="5">
        <v>0.10692</v>
      </c>
      <c r="Q15" s="5">
        <v>0.11559999999999999</v>
      </c>
      <c r="R15" s="5">
        <v>0.11083999999999999</v>
      </c>
      <c r="S15" s="5">
        <f t="shared" si="3"/>
        <v>0.11112</v>
      </c>
      <c r="T15" s="5" t="str">
        <f ca="1">IFERROR(_xludf.STDEV.S(P15:R15)/AVERAGE(P15:R15)*100,"")</f>
        <v/>
      </c>
      <c r="U15" s="5">
        <v>4.6967600000000003</v>
      </c>
      <c r="V15" s="5">
        <v>4.63659</v>
      </c>
      <c r="W15" s="5">
        <v>4.1718999999999999</v>
      </c>
      <c r="X15" s="5">
        <f t="shared" si="4"/>
        <v>4.5017500000000004</v>
      </c>
      <c r="Y15" s="5" t="str">
        <f ca="1">IFERROR(_xludf.STDEV.S(U15:W15)/AVERAGE(U15:W15)*100,"")</f>
        <v/>
      </c>
      <c r="Z15" s="5">
        <v>4.5397699999999999</v>
      </c>
      <c r="AA15" s="5">
        <v>4.4961500000000001</v>
      </c>
      <c r="AB15" s="5">
        <v>4.7549900000000003</v>
      </c>
      <c r="AC15" s="5">
        <f t="shared" si="5"/>
        <v>4.5969699999999998</v>
      </c>
      <c r="AD15" s="5" t="str">
        <f ca="1">IFERROR(_xludf.STDEV.S(Z15:AB15)/AVERAGE(Z15:AB15)*100,"")</f>
        <v/>
      </c>
      <c r="AE15" s="5">
        <v>8.2988300000000006</v>
      </c>
      <c r="AF15" s="5">
        <v>8.1645599999999998</v>
      </c>
      <c r="AG15" s="5">
        <v>7.7944300000000002</v>
      </c>
      <c r="AH15" s="5">
        <f t="shared" si="6"/>
        <v>8.0859400000000008</v>
      </c>
      <c r="AI15" s="5" t="str">
        <f ca="1">IFERROR(_xludf.STDEV.S(AE15:AG15)/AVERAGE(AE15:AG15)*100,"")</f>
        <v/>
      </c>
      <c r="AJ15" s="5">
        <v>0.64329000000000003</v>
      </c>
      <c r="AK15" s="5">
        <v>0.67066999999999999</v>
      </c>
      <c r="AL15" s="5">
        <v>0.62548999999999999</v>
      </c>
      <c r="AM15" s="5">
        <f t="shared" si="7"/>
        <v>0.6464833333333333</v>
      </c>
      <c r="AN15" s="5" t="str">
        <f ca="1">IFERROR(_xludf.STDEV.S(AJ15:AL15)/AVERAGE(AJ15:AL15)*100,"")</f>
        <v/>
      </c>
    </row>
    <row r="16" spans="1:40">
      <c r="A16" s="4" t="s">
        <v>49</v>
      </c>
      <c r="B16" s="4" t="s">
        <v>41</v>
      </c>
      <c r="C16" s="5">
        <v>2258.7116700000001</v>
      </c>
      <c r="D16" s="5">
        <v>2172.5966800000001</v>
      </c>
      <c r="E16" s="5">
        <v>2219.0053710000002</v>
      </c>
      <c r="F16" s="5">
        <f t="shared" si="0"/>
        <v>2216.7712403333335</v>
      </c>
      <c r="G16" s="5" t="str">
        <f ca="1">IFERROR(_xludf.STDEV.S(C16:E16)/AVERAGE(C16:E16)*100,"")</f>
        <v/>
      </c>
      <c r="H16" s="5" t="str">
        <f t="shared" si="1"/>
        <v>MDV-positive</v>
      </c>
      <c r="I16" s="5">
        <f>INDEX(Bird_Summary!$D$2:$D$24,MATCH(A16,Bird_Summary!$A$2:$A$24,0))</f>
        <v>524.33495685724745</v>
      </c>
      <c r="J16" s="5" t="str">
        <f>INDEX(Bird_Summary!$F$2:$F$24,MATCH(A16,Bird_Summary!$A$2:$A$24,0))</f>
        <v>Lower</v>
      </c>
      <c r="K16" s="5">
        <v>0.95452999999999999</v>
      </c>
      <c r="L16" s="5">
        <v>0.86460000000000004</v>
      </c>
      <c r="M16" s="5">
        <v>0.87504999999999999</v>
      </c>
      <c r="N16" s="5">
        <f t="shared" si="2"/>
        <v>0.89805999999999997</v>
      </c>
      <c r="O16" s="5" t="str">
        <f ca="1">IFERROR(_xludf.STDEV.S(K16:M16)/AVERAGE(K16:M16)*100,"")</f>
        <v/>
      </c>
      <c r="P16" s="5">
        <v>8.7069999999999995E-2</v>
      </c>
      <c r="Q16" s="5">
        <v>8.1079999999999999E-2</v>
      </c>
      <c r="R16" s="5">
        <v>7.8479999999999994E-2</v>
      </c>
      <c r="S16" s="5">
        <f t="shared" si="3"/>
        <v>8.2209999999999991E-2</v>
      </c>
      <c r="T16" s="5" t="str">
        <f ca="1">IFERROR(_xludf.STDEV.S(P16:R16)/AVERAGE(P16:R16)*100,"")</f>
        <v/>
      </c>
      <c r="U16" s="5">
        <v>3.2358699999999998</v>
      </c>
      <c r="V16" s="5">
        <v>3.3487399999999998</v>
      </c>
      <c r="W16" s="5">
        <v>3.4268800000000001</v>
      </c>
      <c r="X16" s="5">
        <f t="shared" si="4"/>
        <v>3.3371633333333333</v>
      </c>
      <c r="Y16" s="5" t="str">
        <f ca="1">IFERROR(_xludf.STDEV.S(U16:W16)/AVERAGE(U16:W16)*100,"")</f>
        <v/>
      </c>
      <c r="Z16" s="5">
        <v>5.7896299999999998</v>
      </c>
      <c r="AA16" s="5">
        <v>5.5183099999999996</v>
      </c>
      <c r="AB16" s="5">
        <v>5.8569399999999998</v>
      </c>
      <c r="AC16" s="5">
        <f t="shared" si="5"/>
        <v>5.7216266666666655</v>
      </c>
      <c r="AD16" s="5" t="str">
        <f ca="1">IFERROR(_xludf.STDEV.S(Z16:AB16)/AVERAGE(Z16:AB16)*100,"")</f>
        <v/>
      </c>
      <c r="AE16" s="5">
        <v>3.4618000000000002</v>
      </c>
      <c r="AF16" s="5">
        <v>3.4997199999999999</v>
      </c>
      <c r="AG16" s="5">
        <v>3.6454599999999999</v>
      </c>
      <c r="AH16" s="5">
        <f t="shared" si="6"/>
        <v>3.53566</v>
      </c>
      <c r="AI16" s="5" t="str">
        <f ca="1">IFERROR(_xludf.STDEV.S(AE16:AG16)/AVERAGE(AE16:AG16)*100,"")</f>
        <v/>
      </c>
      <c r="AJ16" s="5">
        <v>0.85175999999999996</v>
      </c>
      <c r="AK16" s="5">
        <v>0.75416000000000005</v>
      </c>
      <c r="AL16" s="5">
        <v>0.79239999999999999</v>
      </c>
      <c r="AM16" s="5">
        <f t="shared" si="7"/>
        <v>0.79944000000000004</v>
      </c>
      <c r="AN16" s="5" t="str">
        <f ca="1">IFERROR(_xludf.STDEV.S(AJ16:AL16)/AVERAGE(AJ16:AL16)*100,"")</f>
        <v/>
      </c>
    </row>
    <row r="17" spans="1:40">
      <c r="A17" s="4" t="s">
        <v>49</v>
      </c>
      <c r="B17" s="4" t="s">
        <v>42</v>
      </c>
      <c r="C17" s="5">
        <v>259.71304320000002</v>
      </c>
      <c r="D17" s="5">
        <v>42.965553280000002</v>
      </c>
      <c r="E17" s="5">
        <v>69.385704039999993</v>
      </c>
      <c r="F17" s="5">
        <f t="shared" si="0"/>
        <v>124.02143350666667</v>
      </c>
      <c r="G17" s="5" t="str">
        <f ca="1">IFERROR(_xludf.STDEV.S(C17:E17)/AVERAGE(C17:E17)*100,"")</f>
        <v/>
      </c>
      <c r="H17" s="5" t="str">
        <f t="shared" si="1"/>
        <v>MDV-positive</v>
      </c>
      <c r="I17" s="5">
        <f>INDEX(Bird_Summary!$D$2:$D$24,MATCH(A17,Bird_Summary!$A$2:$A$24,0))</f>
        <v>524.33495685724745</v>
      </c>
      <c r="J17" s="5" t="str">
        <f>INDEX(Bird_Summary!$F$2:$F$24,MATCH(A17,Bird_Summary!$A$2:$A$24,0))</f>
        <v>Lower</v>
      </c>
      <c r="K17" s="5">
        <v>1.1985399999999999</v>
      </c>
      <c r="L17" s="5">
        <v>1.0636000000000001</v>
      </c>
      <c r="M17" s="5">
        <v>1.1113599999999999</v>
      </c>
      <c r="N17" s="5">
        <f t="shared" si="2"/>
        <v>1.1245000000000001</v>
      </c>
      <c r="O17" s="5" t="str">
        <f ca="1">IFERROR(_xludf.STDEV.S(K17:M17)/AVERAGE(K17:M17)*100,"")</f>
        <v/>
      </c>
      <c r="P17" s="5">
        <v>0.1171</v>
      </c>
      <c r="Q17" s="5">
        <v>0.10836999999999999</v>
      </c>
      <c r="R17" s="5">
        <v>0.10552</v>
      </c>
      <c r="S17" s="5">
        <f t="shared" si="3"/>
        <v>0.11033</v>
      </c>
      <c r="T17" s="5" t="str">
        <f ca="1">IFERROR(_xludf.STDEV.S(P17:R17)/AVERAGE(P17:R17)*100,"")</f>
        <v/>
      </c>
      <c r="U17" s="5">
        <v>3.7047300000000001</v>
      </c>
      <c r="V17" s="5">
        <v>3.5139</v>
      </c>
      <c r="W17" s="5">
        <v>3.6517400000000002</v>
      </c>
      <c r="X17" s="5">
        <f t="shared" si="4"/>
        <v>3.6234566666666672</v>
      </c>
      <c r="Y17" s="5" t="str">
        <f ca="1">IFERROR(_xludf.STDEV.S(U17:W17)/AVERAGE(U17:W17)*100,"")</f>
        <v/>
      </c>
      <c r="Z17" s="5">
        <v>2.6026199999999999</v>
      </c>
      <c r="AA17" s="5">
        <v>2.7563399999999998</v>
      </c>
      <c r="AB17" s="5">
        <v>2.6898399999999998</v>
      </c>
      <c r="AC17" s="5">
        <f t="shared" si="5"/>
        <v>2.6829333333333332</v>
      </c>
      <c r="AD17" s="5" t="str">
        <f ca="1">IFERROR(_xludf.STDEV.S(Z17:AB17)/AVERAGE(Z17:AB17)*100,"")</f>
        <v/>
      </c>
      <c r="AE17" s="5">
        <v>5.2503799999999998</v>
      </c>
      <c r="AF17" s="5">
        <v>5.2116600000000002</v>
      </c>
      <c r="AG17" s="5">
        <v>4.8684099999999999</v>
      </c>
      <c r="AH17" s="5">
        <f t="shared" si="6"/>
        <v>5.11015</v>
      </c>
      <c r="AI17" s="5" t="str">
        <f ca="1">IFERROR(_xludf.STDEV.S(AE17:AG17)/AVERAGE(AE17:AG17)*100,"")</f>
        <v/>
      </c>
      <c r="AJ17" s="5">
        <v>0.44480999999999998</v>
      </c>
      <c r="AK17" s="5">
        <v>0.45161000000000001</v>
      </c>
      <c r="AL17" s="5">
        <v>0.41148000000000001</v>
      </c>
      <c r="AM17" s="5">
        <f t="shared" si="7"/>
        <v>0.43596666666666667</v>
      </c>
      <c r="AN17" s="5" t="str">
        <f ca="1">IFERROR(_xludf.STDEV.S(AJ17:AL17)/AVERAGE(AJ17:AL17)*100,"")</f>
        <v/>
      </c>
    </row>
    <row r="18" spans="1:40">
      <c r="A18" s="4" t="s">
        <v>50</v>
      </c>
      <c r="B18" s="4" t="s">
        <v>41</v>
      </c>
      <c r="C18" s="5">
        <v>10768.887699999999</v>
      </c>
      <c r="D18" s="5">
        <v>10665.496090000001</v>
      </c>
      <c r="E18" s="5">
        <v>11995.668949999999</v>
      </c>
      <c r="F18" s="5">
        <f t="shared" si="0"/>
        <v>11143.350913333334</v>
      </c>
      <c r="G18" s="5" t="str">
        <f ca="1">IFERROR(_xludf.STDEV.S(C18:E18)/AVERAGE(C18:E18)*100,"")</f>
        <v/>
      </c>
      <c r="H18" s="5" t="str">
        <f t="shared" si="1"/>
        <v>MDV-positive</v>
      </c>
      <c r="I18" s="5">
        <f>INDEX(Bird_Summary!$D$2:$D$24,MATCH(A18,Bird_Summary!$A$2:$A$24,0))</f>
        <v>12922.289485871674</v>
      </c>
      <c r="J18" s="5" t="str">
        <f>INDEX(Bird_Summary!$F$2:$F$24,MATCH(A18,Bird_Summary!$A$2:$A$24,0))</f>
        <v>Higher</v>
      </c>
      <c r="K18" s="5">
        <v>0.68398999999999999</v>
      </c>
      <c r="L18" s="5">
        <v>0.62741999999999998</v>
      </c>
      <c r="M18" s="5">
        <v>0.68632000000000004</v>
      </c>
      <c r="N18" s="5">
        <f t="shared" si="2"/>
        <v>0.66591</v>
      </c>
      <c r="O18" s="5" t="str">
        <f ca="1">IFERROR(_xludf.STDEV.S(K18:M18)/AVERAGE(K18:M18)*100,"")</f>
        <v/>
      </c>
      <c r="P18" s="5">
        <v>7.0779999999999996E-2</v>
      </c>
      <c r="Q18" s="5">
        <v>6.4280000000000004E-2</v>
      </c>
      <c r="R18" s="5">
        <v>7.0569999999999994E-2</v>
      </c>
      <c r="S18" s="5">
        <f t="shared" si="3"/>
        <v>6.8543333333333331E-2</v>
      </c>
      <c r="T18" s="5" t="str">
        <f ca="1">IFERROR(_xludf.STDEV.S(P18:R18)/AVERAGE(P18:R18)*100,"")</f>
        <v/>
      </c>
      <c r="U18" s="5">
        <v>2.4746700000000001</v>
      </c>
      <c r="V18" s="5">
        <v>2.4643799999999998</v>
      </c>
      <c r="W18" s="5">
        <v>2.3592499999999998</v>
      </c>
      <c r="X18" s="5">
        <f t="shared" si="4"/>
        <v>2.4327666666666663</v>
      </c>
      <c r="Y18" s="5" t="str">
        <f ca="1">IFERROR(_xludf.STDEV.S(U18:W18)/AVERAGE(U18:W18)*100,"")</f>
        <v/>
      </c>
      <c r="Z18" s="5">
        <v>6.0154399999999999</v>
      </c>
      <c r="AA18" s="5">
        <v>5.9703600000000003</v>
      </c>
      <c r="AB18" s="5">
        <v>5.70648</v>
      </c>
      <c r="AC18" s="5">
        <f t="shared" si="5"/>
        <v>5.897426666666667</v>
      </c>
      <c r="AD18" s="5" t="str">
        <f ca="1">IFERROR(_xludf.STDEV.S(Z18:AB18)/AVERAGE(Z18:AB18)*100,"")</f>
        <v/>
      </c>
      <c r="AE18" s="5">
        <v>3.8587500000000001</v>
      </c>
      <c r="AF18" s="5">
        <v>3.8895599999999999</v>
      </c>
      <c r="AG18" s="5">
        <v>4.2728900000000003</v>
      </c>
      <c r="AH18" s="5">
        <f t="shared" si="6"/>
        <v>4.0070666666666668</v>
      </c>
      <c r="AI18" s="5" t="str">
        <f ca="1">IFERROR(_xludf.STDEV.S(AE18:AG18)/AVERAGE(AE18:AG18)*100,"")</f>
        <v/>
      </c>
      <c r="AJ18" s="5">
        <v>0.60111999999999999</v>
      </c>
      <c r="AK18" s="5">
        <v>0.65807000000000004</v>
      </c>
      <c r="AL18" s="5">
        <v>0.65183999999999997</v>
      </c>
      <c r="AM18" s="5">
        <f t="shared" si="7"/>
        <v>0.63700999999999997</v>
      </c>
      <c r="AN18" s="5" t="str">
        <f ca="1">IFERROR(_xludf.STDEV.S(AJ18:AL18)/AVERAGE(AJ18:AL18)*100,"")</f>
        <v/>
      </c>
    </row>
    <row r="19" spans="1:40">
      <c r="A19" s="4" t="s">
        <v>50</v>
      </c>
      <c r="B19" s="4" t="s">
        <v>42</v>
      </c>
      <c r="C19" s="5">
        <v>12937.99121</v>
      </c>
      <c r="D19" s="5">
        <v>22057.45508</v>
      </c>
      <c r="E19" s="5">
        <v>9960.2138670000004</v>
      </c>
      <c r="F19" s="5">
        <f t="shared" si="0"/>
        <v>14985.220052333332</v>
      </c>
      <c r="G19" s="5" t="str">
        <f ca="1">IFERROR(_xludf.STDEV.S(C19:E19)/AVERAGE(C19:E19)*100,"")</f>
        <v/>
      </c>
      <c r="H19" s="5" t="str">
        <f t="shared" si="1"/>
        <v>MDV-positive</v>
      </c>
      <c r="I19" s="5">
        <f>INDEX(Bird_Summary!$D$2:$D$24,MATCH(A19,Bird_Summary!$A$2:$A$24,0))</f>
        <v>12922.289485871674</v>
      </c>
      <c r="J19" s="5" t="str">
        <f>INDEX(Bird_Summary!$F$2:$F$24,MATCH(A19,Bird_Summary!$A$2:$A$24,0))</f>
        <v>Higher</v>
      </c>
      <c r="K19" s="5">
        <v>0.59784999999999999</v>
      </c>
      <c r="L19" s="5">
        <v>0.67615999999999998</v>
      </c>
      <c r="M19" s="5">
        <v>0.64583999999999997</v>
      </c>
      <c r="N19" s="5">
        <f t="shared" si="2"/>
        <v>0.63995000000000002</v>
      </c>
      <c r="O19" s="5" t="str">
        <f ca="1">IFERROR(_xludf.STDEV.S(K19:M19)/AVERAGE(K19:M19)*100,"")</f>
        <v/>
      </c>
      <c r="P19" s="5">
        <v>6.8029999999999993E-2</v>
      </c>
      <c r="Q19" s="5">
        <v>7.0540000000000005E-2</v>
      </c>
      <c r="R19" s="5">
        <v>6.5310000000000007E-2</v>
      </c>
      <c r="S19" s="5">
        <f t="shared" si="3"/>
        <v>6.7960000000000007E-2</v>
      </c>
      <c r="T19" s="5" t="str">
        <f ca="1">IFERROR(_xludf.STDEV.S(P19:R19)/AVERAGE(P19:R19)*100,"")</f>
        <v/>
      </c>
      <c r="U19" s="5">
        <v>2.3051400000000002</v>
      </c>
      <c r="V19" s="5">
        <v>2.3869799999999999</v>
      </c>
      <c r="W19" s="5">
        <v>2.23509</v>
      </c>
      <c r="X19" s="5">
        <f t="shared" si="4"/>
        <v>2.3090700000000002</v>
      </c>
      <c r="Y19" s="5" t="str">
        <f ca="1">IFERROR(_xludf.STDEV.S(U19:W19)/AVERAGE(U19:W19)*100,"")</f>
        <v/>
      </c>
      <c r="Z19" s="5">
        <v>6.6847700000000003</v>
      </c>
      <c r="AA19" s="5">
        <v>6.0981899999999998</v>
      </c>
      <c r="AB19" s="5">
        <v>6.1832799999999999</v>
      </c>
      <c r="AC19" s="5">
        <f t="shared" si="5"/>
        <v>6.3220799999999997</v>
      </c>
      <c r="AD19" s="5" t="str">
        <f ca="1">IFERROR(_xludf.STDEV.S(Z19:AB19)/AVERAGE(Z19:AB19)*100,"")</f>
        <v/>
      </c>
      <c r="AE19" s="5">
        <v>8.1918299999999995</v>
      </c>
      <c r="AF19" s="5">
        <v>7.8304099999999996</v>
      </c>
      <c r="AG19" s="5">
        <v>8.3859600000000007</v>
      </c>
      <c r="AH19" s="5">
        <f t="shared" si="6"/>
        <v>8.1360666666666663</v>
      </c>
      <c r="AI19" s="5" t="str">
        <f ca="1">IFERROR(_xludf.STDEV.S(AE19:AG19)/AVERAGE(AE19:AG19)*100,"")</f>
        <v/>
      </c>
      <c r="AJ19" s="5">
        <v>0.30669000000000002</v>
      </c>
      <c r="AK19" s="5">
        <v>0.31863999999999998</v>
      </c>
      <c r="AL19" s="5">
        <v>0.33443000000000001</v>
      </c>
      <c r="AM19" s="5">
        <f t="shared" si="7"/>
        <v>0.31991999999999998</v>
      </c>
      <c r="AN19" s="5" t="str">
        <f ca="1">IFERROR(_xludf.STDEV.S(AJ19:AL19)/AVERAGE(AJ19:AL19)*100,"")</f>
        <v/>
      </c>
    </row>
    <row r="20" spans="1:40">
      <c r="A20" s="4" t="s">
        <v>51</v>
      </c>
      <c r="B20" s="4" t="s">
        <v>41</v>
      </c>
      <c r="C20" s="5">
        <v>80740.359379999994</v>
      </c>
      <c r="D20" s="5">
        <v>97297.335940000004</v>
      </c>
      <c r="E20" s="5">
        <v>82411.382809999996</v>
      </c>
      <c r="F20" s="5">
        <f t="shared" si="0"/>
        <v>86816.35937666666</v>
      </c>
      <c r="G20" s="5" t="str">
        <f ca="1">IFERROR(_xludf.STDEV.S(C20:E20)/AVERAGE(C20:E20)*100,"")</f>
        <v/>
      </c>
      <c r="H20" s="5" t="str">
        <f t="shared" si="1"/>
        <v>MDV-positive</v>
      </c>
      <c r="I20" s="5">
        <f>INDEX(Bird_Summary!$D$2:$D$24,MATCH(A20,Bird_Summary!$A$2:$A$24,0))</f>
        <v>35484.404085799048</v>
      </c>
      <c r="J20" s="5" t="str">
        <f>INDEX(Bird_Summary!$F$2:$F$24,MATCH(A20,Bird_Summary!$A$2:$A$24,0))</f>
        <v>Higher</v>
      </c>
      <c r="K20" s="5">
        <v>0.72084000000000004</v>
      </c>
      <c r="L20" s="5">
        <v>0.70567000000000002</v>
      </c>
      <c r="M20" s="5">
        <v>0.68523999999999996</v>
      </c>
      <c r="N20" s="5">
        <f t="shared" si="2"/>
        <v>0.70391666666666663</v>
      </c>
      <c r="O20" s="5" t="str">
        <f ca="1">IFERROR(_xludf.STDEV.S(K20:M20)/AVERAGE(K20:M20)*100,"")</f>
        <v/>
      </c>
      <c r="P20" s="5">
        <v>6.9669999999999996E-2</v>
      </c>
      <c r="Q20" s="5">
        <v>7.2590000000000002E-2</v>
      </c>
      <c r="R20" s="5">
        <v>6.8040000000000003E-2</v>
      </c>
      <c r="S20" s="5">
        <f t="shared" si="3"/>
        <v>7.0099999999999996E-2</v>
      </c>
      <c r="T20" s="5" t="str">
        <f ca="1">IFERROR(_xludf.STDEV.S(P20:R20)/AVERAGE(P20:R20)*100,"")</f>
        <v/>
      </c>
      <c r="U20" s="5">
        <v>2.91343</v>
      </c>
      <c r="V20" s="5">
        <v>2.7518199999999999</v>
      </c>
      <c r="W20" s="5">
        <v>2.9289999999999998</v>
      </c>
      <c r="X20" s="5">
        <f t="shared" si="4"/>
        <v>2.8647500000000004</v>
      </c>
      <c r="Y20" s="5" t="str">
        <f ca="1">IFERROR(_xludf.STDEV.S(U20:W20)/AVERAGE(U20:W20)*100,"")</f>
        <v/>
      </c>
      <c r="Z20" s="5">
        <v>3.4068900000000002</v>
      </c>
      <c r="AA20" s="5">
        <v>3.5730599999999999</v>
      </c>
      <c r="AB20" s="5">
        <v>3.1547700000000001</v>
      </c>
      <c r="AC20" s="5">
        <f t="shared" si="5"/>
        <v>3.3782400000000004</v>
      </c>
      <c r="AD20" s="5" t="str">
        <f ca="1">IFERROR(_xludf.STDEV.S(Z20:AB20)/AVERAGE(Z20:AB20)*100,"")</f>
        <v/>
      </c>
      <c r="AE20" s="5">
        <v>3.6358799999999998</v>
      </c>
      <c r="AF20" s="5">
        <v>3.4607800000000002</v>
      </c>
      <c r="AG20" s="5">
        <v>3.6662300000000001</v>
      </c>
      <c r="AH20" s="5">
        <f t="shared" si="6"/>
        <v>3.5876300000000003</v>
      </c>
      <c r="AI20" s="5" t="str">
        <f ca="1">IFERROR(_xludf.STDEV.S(AE20:AG20)/AVERAGE(AE20:AG20)*100,"")</f>
        <v/>
      </c>
      <c r="AJ20" s="5">
        <v>0.87266999999999995</v>
      </c>
      <c r="AK20" s="5">
        <v>0.78085000000000004</v>
      </c>
      <c r="AL20" s="5">
        <v>0.79852999999999996</v>
      </c>
      <c r="AM20" s="5">
        <f t="shared" si="7"/>
        <v>0.81734999999999991</v>
      </c>
      <c r="AN20" s="5" t="str">
        <f ca="1">IFERROR(_xludf.STDEV.S(AJ20:AL20)/AVERAGE(AJ20:AL20)*100,"")</f>
        <v/>
      </c>
    </row>
    <row r="21" spans="1:40">
      <c r="A21" s="4" t="s">
        <v>51</v>
      </c>
      <c r="B21" s="4" t="s">
        <v>42</v>
      </c>
      <c r="C21" s="5">
        <v>14661.521479999999</v>
      </c>
      <c r="D21" s="5">
        <v>15261.36133</v>
      </c>
      <c r="E21" s="5">
        <v>13587.681640000001</v>
      </c>
      <c r="F21" s="5">
        <f t="shared" si="0"/>
        <v>14503.521483333332</v>
      </c>
      <c r="G21" s="5" t="str">
        <f ca="1">IFERROR(_xludf.STDEV.S(C21:E21)/AVERAGE(C21:E21)*100,"")</f>
        <v/>
      </c>
      <c r="H21" s="5" t="str">
        <f t="shared" si="1"/>
        <v>MDV-positive</v>
      </c>
      <c r="I21" s="5">
        <f>INDEX(Bird_Summary!$D$2:$D$24,MATCH(A21,Bird_Summary!$A$2:$A$24,0))</f>
        <v>35484.404085799048</v>
      </c>
      <c r="J21" s="5" t="str">
        <f>INDEX(Bird_Summary!$F$2:$F$24,MATCH(A21,Bird_Summary!$A$2:$A$24,0))</f>
        <v>Higher</v>
      </c>
      <c r="K21" s="5">
        <v>0.86490999999999996</v>
      </c>
      <c r="L21" s="5">
        <v>0.79407000000000005</v>
      </c>
      <c r="M21" s="5">
        <v>0.82021999999999995</v>
      </c>
      <c r="N21" s="5">
        <f t="shared" si="2"/>
        <v>0.82640000000000002</v>
      </c>
      <c r="O21" s="5" t="str">
        <f ca="1">IFERROR(_xludf.STDEV.S(K21:M21)/AVERAGE(K21:M21)*100,"")</f>
        <v/>
      </c>
      <c r="P21" s="5">
        <v>0.14252000000000001</v>
      </c>
      <c r="Q21" s="5">
        <v>0.13594000000000001</v>
      </c>
      <c r="R21" s="5">
        <v>0.13422000000000001</v>
      </c>
      <c r="S21" s="5">
        <f t="shared" si="3"/>
        <v>0.13756000000000002</v>
      </c>
      <c r="T21" s="5" t="str">
        <f ca="1">IFERROR(_xludf.STDEV.S(P21:R21)/AVERAGE(P21:R21)*100,"")</f>
        <v/>
      </c>
      <c r="U21" s="5">
        <v>1.4823599999999999</v>
      </c>
      <c r="V21" s="5">
        <v>1.5625</v>
      </c>
      <c r="W21" s="5">
        <v>1.5272600000000001</v>
      </c>
      <c r="X21" s="5">
        <f t="shared" si="4"/>
        <v>1.5240400000000001</v>
      </c>
      <c r="Y21" s="5" t="str">
        <f ca="1">IFERROR(_xludf.STDEV.S(U21:W21)/AVERAGE(U21:W21)*100,"")</f>
        <v/>
      </c>
      <c r="Z21" s="5">
        <v>4.3097000000000003</v>
      </c>
      <c r="AA21" s="5">
        <v>4.44991</v>
      </c>
      <c r="AB21" s="5">
        <v>4.7969099999999996</v>
      </c>
      <c r="AC21" s="5">
        <f t="shared" si="5"/>
        <v>4.51884</v>
      </c>
      <c r="AD21" s="5" t="str">
        <f ca="1">IFERROR(_xludf.STDEV.S(Z21:AB21)/AVERAGE(Z21:AB21)*100,"")</f>
        <v/>
      </c>
      <c r="AE21" s="5">
        <v>3.1472899999999999</v>
      </c>
      <c r="AF21" s="5">
        <v>3.0371999999999999</v>
      </c>
      <c r="AG21" s="5">
        <v>2.99566</v>
      </c>
      <c r="AH21" s="5">
        <f t="shared" si="6"/>
        <v>3.0600500000000004</v>
      </c>
      <c r="AI21" s="5" t="str">
        <f ca="1">IFERROR(_xludf.STDEV.S(AE21:AG21)/AVERAGE(AE21:AG21)*100,"")</f>
        <v/>
      </c>
      <c r="AJ21" s="5">
        <v>0.47593999999999997</v>
      </c>
      <c r="AK21" s="5">
        <v>0.42956</v>
      </c>
      <c r="AL21" s="5">
        <v>0.47741</v>
      </c>
      <c r="AM21" s="5">
        <f t="shared" si="7"/>
        <v>0.46096999999999994</v>
      </c>
      <c r="AN21" s="5" t="str">
        <f ca="1">IFERROR(_xludf.STDEV.S(AJ21:AL21)/AVERAGE(AJ21:AL21)*100,"")</f>
        <v/>
      </c>
    </row>
    <row r="22" spans="1:40">
      <c r="A22" s="4" t="s">
        <v>52</v>
      </c>
      <c r="B22" s="4" t="s">
        <v>41</v>
      </c>
      <c r="C22" s="5">
        <v>329.93603519999999</v>
      </c>
      <c r="D22" s="5">
        <v>349.50967409999998</v>
      </c>
      <c r="E22" s="5">
        <v>239.13273620000001</v>
      </c>
      <c r="F22" s="5">
        <f t="shared" si="0"/>
        <v>306.19281516666666</v>
      </c>
      <c r="G22" s="5" t="str">
        <f ca="1">IFERROR(_xludf.STDEV.S(C22:E22)/AVERAGE(C22:E22)*100,"")</f>
        <v/>
      </c>
      <c r="H22" s="5" t="str">
        <f t="shared" si="1"/>
        <v>MDV-positive</v>
      </c>
      <c r="I22" s="5">
        <f>INDEX(Bird_Summary!$D$2:$D$24,MATCH(A22,Bird_Summary!$A$2:$A$24,0))</f>
        <v>1525.5987921297437</v>
      </c>
      <c r="J22" s="5" t="str">
        <f>INDEX(Bird_Summary!$F$2:$F$24,MATCH(A22,Bird_Summary!$A$2:$A$24,0))</f>
        <v>Lower</v>
      </c>
      <c r="K22" s="5">
        <v>0.94720000000000004</v>
      </c>
      <c r="L22" s="5">
        <v>0.84428999999999998</v>
      </c>
      <c r="M22" s="5">
        <v>0.94318999999999997</v>
      </c>
      <c r="N22" s="5">
        <f t="shared" si="2"/>
        <v>0.91156000000000004</v>
      </c>
      <c r="O22" s="5" t="str">
        <f ca="1">IFERROR(_xludf.STDEV.S(K22:M22)/AVERAGE(K22:M22)*100,"")</f>
        <v/>
      </c>
      <c r="P22" s="5">
        <v>0.13478000000000001</v>
      </c>
      <c r="Q22" s="5">
        <v>0.14424999999999999</v>
      </c>
      <c r="R22" s="5">
        <v>0.13148000000000001</v>
      </c>
      <c r="S22" s="5">
        <f t="shared" si="3"/>
        <v>0.13683666666666669</v>
      </c>
      <c r="T22" s="5" t="str">
        <f ca="1">IFERROR(_xludf.STDEV.S(P22:R22)/AVERAGE(P22:R22)*100,"")</f>
        <v/>
      </c>
      <c r="U22" s="5">
        <v>0.79486000000000001</v>
      </c>
      <c r="V22" s="5">
        <v>0.83428999999999998</v>
      </c>
      <c r="W22" s="5">
        <v>0.74960000000000004</v>
      </c>
      <c r="X22" s="5">
        <f t="shared" si="4"/>
        <v>0.79291666666666671</v>
      </c>
      <c r="Y22" s="5" t="str">
        <f ca="1">IFERROR(_xludf.STDEV.S(U22:W22)/AVERAGE(U22:W22)*100,"")</f>
        <v/>
      </c>
      <c r="Z22" s="5">
        <v>1.45516</v>
      </c>
      <c r="AA22" s="5">
        <v>1.4554499999999999</v>
      </c>
      <c r="AB22" s="5">
        <v>1.58477</v>
      </c>
      <c r="AC22" s="5">
        <f t="shared" si="5"/>
        <v>1.4984599999999999</v>
      </c>
      <c r="AD22" s="5" t="str">
        <f ca="1">IFERROR(_xludf.STDEV.S(Z22:AB22)/AVERAGE(Z22:AB22)*100,"")</f>
        <v/>
      </c>
      <c r="AE22" s="5">
        <v>0.78971000000000002</v>
      </c>
      <c r="AF22" s="5">
        <v>0.73016999999999999</v>
      </c>
      <c r="AG22" s="5">
        <v>0.70069000000000004</v>
      </c>
      <c r="AH22" s="5">
        <f t="shared" si="6"/>
        <v>0.74019000000000013</v>
      </c>
      <c r="AI22" s="5" t="str">
        <f ca="1">IFERROR(_xludf.STDEV.S(AE22:AG22)/AVERAGE(AE22:AG22)*100,"")</f>
        <v/>
      </c>
      <c r="AJ22" s="5">
        <v>0.14995</v>
      </c>
      <c r="AK22" s="5">
        <v>0.14304</v>
      </c>
      <c r="AL22" s="5">
        <v>0.14942</v>
      </c>
      <c r="AM22" s="5">
        <f t="shared" si="7"/>
        <v>0.14746999999999999</v>
      </c>
      <c r="AN22" s="5" t="str">
        <f ca="1">IFERROR(_xludf.STDEV.S(AJ22:AL22)/AVERAGE(AJ22:AL22)*100,"")</f>
        <v/>
      </c>
    </row>
    <row r="23" spans="1:40">
      <c r="A23" s="4" t="s">
        <v>52</v>
      </c>
      <c r="B23" s="4" t="s">
        <v>42</v>
      </c>
      <c r="C23" s="5">
        <v>7786.6601559999999</v>
      </c>
      <c r="D23" s="5">
        <v>7370.8115230000003</v>
      </c>
      <c r="E23" s="5">
        <v>7646.3129879999997</v>
      </c>
      <c r="F23" s="5">
        <f t="shared" si="0"/>
        <v>7601.2615556666669</v>
      </c>
      <c r="G23" s="5" t="str">
        <f ca="1">IFERROR(_xludf.STDEV.S(C23:E23)/AVERAGE(C23:E23)*100,"")</f>
        <v/>
      </c>
      <c r="H23" s="5" t="str">
        <f t="shared" si="1"/>
        <v>MDV-positive</v>
      </c>
      <c r="I23" s="5">
        <f>INDEX(Bird_Summary!$D$2:$D$24,MATCH(A23,Bird_Summary!$A$2:$A$24,0))</f>
        <v>1525.5987921297437</v>
      </c>
      <c r="J23" s="5" t="str">
        <f>INDEX(Bird_Summary!$F$2:$F$24,MATCH(A23,Bird_Summary!$A$2:$A$24,0))</f>
        <v>Lower</v>
      </c>
      <c r="K23" s="5">
        <v>1.3561300000000001</v>
      </c>
      <c r="L23" s="5">
        <v>1.27284</v>
      </c>
      <c r="M23" s="5">
        <v>1.23529</v>
      </c>
      <c r="N23" s="5">
        <f t="shared" si="2"/>
        <v>1.2880866666666666</v>
      </c>
      <c r="O23" s="5" t="str">
        <f ca="1">IFERROR(_xludf.STDEV.S(K23:M23)/AVERAGE(K23:M23)*100,"")</f>
        <v/>
      </c>
      <c r="P23" s="5">
        <v>0.12447999999999999</v>
      </c>
      <c r="Q23" s="5">
        <v>0.13541</v>
      </c>
      <c r="R23" s="5">
        <v>0.14094000000000001</v>
      </c>
      <c r="S23" s="5">
        <f t="shared" si="3"/>
        <v>0.13361000000000001</v>
      </c>
      <c r="T23" s="5" t="str">
        <f ca="1">IFERROR(_xludf.STDEV.S(P23:R23)/AVERAGE(P23:R23)*100,"")</f>
        <v/>
      </c>
      <c r="U23" s="5">
        <v>1.0428500000000001</v>
      </c>
      <c r="V23" s="5">
        <v>1.00248</v>
      </c>
      <c r="W23" s="5">
        <v>1.0885</v>
      </c>
      <c r="X23" s="5">
        <f t="shared" si="4"/>
        <v>1.0446099999999998</v>
      </c>
      <c r="Y23" s="5" t="str">
        <f ca="1">IFERROR(_xludf.STDEV.S(U23:W23)/AVERAGE(U23:W23)*100,"")</f>
        <v/>
      </c>
      <c r="Z23" s="5">
        <v>2.0422500000000001</v>
      </c>
      <c r="AA23" s="5">
        <v>2.1043799999999999</v>
      </c>
      <c r="AB23" s="5">
        <v>2.1897000000000002</v>
      </c>
      <c r="AC23" s="5">
        <f t="shared" si="5"/>
        <v>2.1121099999999999</v>
      </c>
      <c r="AD23" s="5" t="str">
        <f ca="1">IFERROR(_xludf.STDEV.S(Z23:AB23)/AVERAGE(Z23:AB23)*100,"")</f>
        <v/>
      </c>
      <c r="AE23" s="5">
        <v>1.7794700000000001</v>
      </c>
      <c r="AF23" s="5">
        <v>1.61215</v>
      </c>
      <c r="AG23" s="5">
        <v>1.79613</v>
      </c>
      <c r="AH23" s="5">
        <f t="shared" si="6"/>
        <v>1.7292500000000002</v>
      </c>
      <c r="AI23" s="5" t="str">
        <f ca="1">IFERROR(_xludf.STDEV.S(AE23:AG23)/AVERAGE(AE23:AG23)*100,"")</f>
        <v/>
      </c>
      <c r="AJ23" s="5">
        <v>0.44123000000000001</v>
      </c>
      <c r="AK23" s="5">
        <v>0.41376000000000002</v>
      </c>
      <c r="AL23" s="5">
        <v>0.42138999999999999</v>
      </c>
      <c r="AM23" s="5">
        <f t="shared" si="7"/>
        <v>0.42546</v>
      </c>
      <c r="AN23" s="5" t="str">
        <f ca="1">IFERROR(_xludf.STDEV.S(AJ23:AL23)/AVERAGE(AJ23:AL23)*100,"")</f>
        <v/>
      </c>
    </row>
    <row r="24" spans="1:40">
      <c r="A24" s="4" t="s">
        <v>53</v>
      </c>
      <c r="B24" s="4" t="s">
        <v>41</v>
      </c>
      <c r="C24" s="5">
        <v>6963.8081050000001</v>
      </c>
      <c r="D24" s="5">
        <v>5948.294922</v>
      </c>
      <c r="E24" s="5">
        <v>7066.9101559999999</v>
      </c>
      <c r="F24" s="5">
        <f t="shared" si="0"/>
        <v>6659.6710610000009</v>
      </c>
      <c r="G24" s="5" t="str">
        <f ca="1">IFERROR(_xludf.STDEV.S(C24:E24)/AVERAGE(C24:E24)*100,"")</f>
        <v/>
      </c>
      <c r="H24" s="5" t="str">
        <f t="shared" si="1"/>
        <v>MDV-positive</v>
      </c>
      <c r="I24" s="5">
        <f>INDEX(Bird_Summary!$D$2:$D$24,MATCH(A24,Bird_Summary!$A$2:$A$24,0))</f>
        <v>4719.3381667933681</v>
      </c>
      <c r="J24" s="5" t="str">
        <f>INDEX(Bird_Summary!$F$2:$F$24,MATCH(A24,Bird_Summary!$A$2:$A$24,0))</f>
        <v>Higher</v>
      </c>
      <c r="K24" s="5">
        <v>0.95816000000000001</v>
      </c>
      <c r="L24" s="5">
        <v>0.96918000000000004</v>
      </c>
      <c r="M24" s="5">
        <v>0.91807000000000005</v>
      </c>
      <c r="N24" s="5">
        <f t="shared" si="2"/>
        <v>0.94847000000000004</v>
      </c>
      <c r="O24" s="5" t="str">
        <f ca="1">IFERROR(_xludf.STDEV.S(K24:M24)/AVERAGE(K24:M24)*100,"")</f>
        <v/>
      </c>
      <c r="P24" s="5">
        <v>0.10707</v>
      </c>
      <c r="Q24" s="5">
        <v>9.8739999999999994E-2</v>
      </c>
      <c r="R24" s="5">
        <v>0.10165</v>
      </c>
      <c r="S24" s="5">
        <f t="shared" si="3"/>
        <v>0.10248666666666667</v>
      </c>
      <c r="T24" s="5" t="str">
        <f ca="1">IFERROR(_xludf.STDEV.S(P24:R24)/AVERAGE(P24:R24)*100,"")</f>
        <v/>
      </c>
      <c r="U24" s="5">
        <v>1.20143</v>
      </c>
      <c r="V24" s="5">
        <v>1.09962</v>
      </c>
      <c r="W24" s="5">
        <v>1.0836399999999999</v>
      </c>
      <c r="X24" s="5">
        <f t="shared" si="4"/>
        <v>1.1282300000000001</v>
      </c>
      <c r="Y24" s="5" t="str">
        <f ca="1">IFERROR(_xludf.STDEV.S(U24:W24)/AVERAGE(U24:W24)*100,"")</f>
        <v/>
      </c>
      <c r="Z24" s="5">
        <v>2.7520799999999999</v>
      </c>
      <c r="AA24" s="5">
        <v>2.8849</v>
      </c>
      <c r="AB24" s="5">
        <v>2.7612299999999999</v>
      </c>
      <c r="AC24" s="5">
        <f t="shared" si="5"/>
        <v>2.7994033333333328</v>
      </c>
      <c r="AD24" s="5" t="str">
        <f ca="1">IFERROR(_xludf.STDEV.S(Z24:AB24)/AVERAGE(Z24:AB24)*100,"")</f>
        <v/>
      </c>
      <c r="AE24" s="5">
        <v>6.9964300000000001</v>
      </c>
      <c r="AF24" s="5">
        <v>6.8375399999999997</v>
      </c>
      <c r="AG24" s="5">
        <v>6.2100600000000004</v>
      </c>
      <c r="AH24" s="5">
        <f t="shared" si="6"/>
        <v>6.6813433333333334</v>
      </c>
      <c r="AI24" s="5" t="str">
        <f ca="1">IFERROR(_xludf.STDEV.S(AE24:AG24)/AVERAGE(AE24:AG24)*100,"")</f>
        <v/>
      </c>
      <c r="AJ24" s="5">
        <v>0.45795999999999998</v>
      </c>
      <c r="AK24" s="5">
        <v>0.48211999999999999</v>
      </c>
      <c r="AL24" s="5">
        <v>0.44478000000000001</v>
      </c>
      <c r="AM24" s="5">
        <f t="shared" si="7"/>
        <v>0.46161999999999997</v>
      </c>
      <c r="AN24" s="5" t="str">
        <f ca="1">IFERROR(_xludf.STDEV.S(AJ24:AL24)/AVERAGE(AJ24:AL24)*100,"")</f>
        <v/>
      </c>
    </row>
    <row r="25" spans="1:40">
      <c r="A25" s="4" t="s">
        <v>53</v>
      </c>
      <c r="B25" s="4" t="s">
        <v>42</v>
      </c>
      <c r="C25" s="5">
        <v>3127.929443</v>
      </c>
      <c r="D25" s="5">
        <v>3354.5128770000001</v>
      </c>
      <c r="E25" s="5">
        <v>3550.554443</v>
      </c>
      <c r="F25" s="5">
        <f t="shared" si="0"/>
        <v>3344.3322543333329</v>
      </c>
      <c r="G25" s="5" t="str">
        <f ca="1">IFERROR(_xludf.STDEV.S(C25:E25)/AVERAGE(C25:E25)*100,"")</f>
        <v/>
      </c>
      <c r="H25" s="5" t="str">
        <f t="shared" si="1"/>
        <v>MDV-positive</v>
      </c>
      <c r="I25" s="5">
        <f>INDEX(Bird_Summary!$D$2:$D$24,MATCH(A25,Bird_Summary!$A$2:$A$24,0))</f>
        <v>4719.3381667933681</v>
      </c>
      <c r="J25" s="5" t="str">
        <f>INDEX(Bird_Summary!$F$2:$F$24,MATCH(A25,Bird_Summary!$A$2:$A$24,0))</f>
        <v>Higher</v>
      </c>
      <c r="K25" s="5">
        <v>1.0303800000000001</v>
      </c>
      <c r="L25" s="5">
        <v>1.1069599999999999</v>
      </c>
      <c r="M25" s="5">
        <v>1.0510900000000001</v>
      </c>
      <c r="N25" s="5">
        <f t="shared" si="2"/>
        <v>1.06281</v>
      </c>
      <c r="O25" s="5" t="str">
        <f ca="1">IFERROR(_xludf.STDEV.S(K25:M25)/AVERAGE(K25:M25)*100,"")</f>
        <v/>
      </c>
      <c r="P25" s="5">
        <v>0.11473999999999999</v>
      </c>
      <c r="Q25" s="5">
        <v>0.11589000000000001</v>
      </c>
      <c r="R25" s="5">
        <v>0.10763</v>
      </c>
      <c r="S25" s="5">
        <f t="shared" si="3"/>
        <v>0.11275333333333333</v>
      </c>
      <c r="T25" s="5" t="str">
        <f ca="1">IFERROR(_xludf.STDEV.S(P25:R25)/AVERAGE(P25:R25)*100,"")</f>
        <v/>
      </c>
      <c r="U25" s="5">
        <v>2.5325899999999999</v>
      </c>
      <c r="V25" s="5">
        <v>2.4444499999999998</v>
      </c>
      <c r="W25" s="5">
        <v>2.23922</v>
      </c>
      <c r="X25" s="5">
        <f t="shared" si="4"/>
        <v>2.4054199999999999</v>
      </c>
      <c r="Y25" s="5" t="str">
        <f ca="1">IFERROR(_xludf.STDEV.S(U25:W25)/AVERAGE(U25:W25)*100,"")</f>
        <v/>
      </c>
      <c r="Z25" s="5">
        <v>3.1966399999999999</v>
      </c>
      <c r="AA25" s="5">
        <v>3.1196999999999999</v>
      </c>
      <c r="AB25" s="5">
        <v>3.47194</v>
      </c>
      <c r="AC25" s="5">
        <f t="shared" si="5"/>
        <v>3.2627600000000001</v>
      </c>
      <c r="AD25" s="5" t="str">
        <f ca="1">IFERROR(_xludf.STDEV.S(Z25:AB25)/AVERAGE(Z25:AB25)*100,"")</f>
        <v/>
      </c>
      <c r="AE25" s="5">
        <v>6.0594599999999996</v>
      </c>
      <c r="AF25" s="5">
        <v>6.3632799999999996</v>
      </c>
      <c r="AG25" s="5">
        <v>6.3703399999999997</v>
      </c>
      <c r="AH25" s="5">
        <f t="shared" si="6"/>
        <v>6.2643599999999999</v>
      </c>
      <c r="AI25" s="5" t="str">
        <f ca="1">IFERROR(_xludf.STDEV.S(AE25:AG25)/AVERAGE(AE25:AG25)*100,"")</f>
        <v/>
      </c>
      <c r="AJ25" s="5">
        <v>0.43320999999999998</v>
      </c>
      <c r="AK25" s="5">
        <v>0.45694000000000001</v>
      </c>
      <c r="AL25" s="5">
        <v>0.46721000000000001</v>
      </c>
      <c r="AM25" s="5">
        <f t="shared" si="7"/>
        <v>0.45245333333333332</v>
      </c>
      <c r="AN25" s="5" t="str">
        <f ca="1">IFERROR(_xludf.STDEV.S(AJ25:AL25)/AVERAGE(AJ25:AL25)*100,"")</f>
        <v/>
      </c>
    </row>
    <row r="26" spans="1:40">
      <c r="A26" s="4" t="s">
        <v>54</v>
      </c>
      <c r="B26" s="4" t="s">
        <v>41</v>
      </c>
      <c r="C26" s="5">
        <v>8127.2573240000002</v>
      </c>
      <c r="D26" s="5">
        <v>7096.2802730000003</v>
      </c>
      <c r="E26" s="5">
        <v>7441.3662109999996</v>
      </c>
      <c r="F26" s="5">
        <f t="shared" si="0"/>
        <v>7554.967936</v>
      </c>
      <c r="G26" s="5" t="str">
        <f ca="1">IFERROR(_xludf.STDEV.S(C26:E26)/AVERAGE(C26:E26)*100,"")</f>
        <v/>
      </c>
      <c r="H26" s="5" t="str">
        <f t="shared" si="1"/>
        <v>MDV-positive</v>
      </c>
      <c r="I26" s="5">
        <f>INDEX(Bird_Summary!$D$2:$D$24,MATCH(A26,Bird_Summary!$A$2:$A$24,0))</f>
        <v>6887.3106419601445</v>
      </c>
      <c r="J26" s="5" t="str">
        <f>INDEX(Bird_Summary!$F$2:$F$24,MATCH(A26,Bird_Summary!$A$2:$A$24,0))</f>
        <v>Higher</v>
      </c>
      <c r="K26" s="5">
        <v>0.36958999999999997</v>
      </c>
      <c r="L26" s="5">
        <v>0.37748999999999999</v>
      </c>
      <c r="M26" s="5">
        <v>0.35388999999999998</v>
      </c>
      <c r="N26" s="5">
        <f t="shared" si="2"/>
        <v>0.36698999999999998</v>
      </c>
      <c r="O26" s="5" t="str">
        <f ca="1">IFERROR(_xludf.STDEV.S(K26:M26)/AVERAGE(K26:M26)*100,"")</f>
        <v/>
      </c>
      <c r="P26" s="5">
        <v>7.1410000000000001E-2</v>
      </c>
      <c r="Q26" s="5">
        <v>7.7109999999999998E-2</v>
      </c>
      <c r="R26" s="5">
        <v>7.5399999999999995E-2</v>
      </c>
      <c r="S26" s="5">
        <f t="shared" si="3"/>
        <v>7.4639999999999998E-2</v>
      </c>
      <c r="T26" s="5" t="str">
        <f ca="1">IFERROR(_xludf.STDEV.S(P26:R26)/AVERAGE(P26:R26)*100,"")</f>
        <v/>
      </c>
      <c r="U26" s="5">
        <v>3.49173</v>
      </c>
      <c r="V26" s="5">
        <v>3.86111</v>
      </c>
      <c r="W26" s="5">
        <v>3.8212199999999998</v>
      </c>
      <c r="X26" s="5">
        <f t="shared" si="4"/>
        <v>3.7246866666666669</v>
      </c>
      <c r="Y26" s="5" t="str">
        <f ca="1">IFERROR(_xludf.STDEV.S(U26:W26)/AVERAGE(U26:W26)*100,"")</f>
        <v/>
      </c>
      <c r="Z26" s="5">
        <v>4.2789799999999998</v>
      </c>
      <c r="AA26" s="5">
        <v>4.4946999999999999</v>
      </c>
      <c r="AB26" s="5">
        <v>4.0020100000000003</v>
      </c>
      <c r="AC26" s="5">
        <f t="shared" si="5"/>
        <v>4.258563333333333</v>
      </c>
      <c r="AD26" s="5" t="str">
        <f ca="1">IFERROR(_xludf.STDEV.S(Z26:AB26)/AVERAGE(Z26:AB26)*100,"")</f>
        <v/>
      </c>
      <c r="AE26" s="5">
        <v>4.3596700000000004</v>
      </c>
      <c r="AF26" s="5">
        <v>4.24674</v>
      </c>
      <c r="AG26" s="5">
        <v>3.91601</v>
      </c>
      <c r="AH26" s="5">
        <f t="shared" si="6"/>
        <v>4.1741400000000004</v>
      </c>
      <c r="AI26" s="5" t="str">
        <f ca="1">IFERROR(_xludf.STDEV.S(AE26:AG26)/AVERAGE(AE26:AG26)*100,"")</f>
        <v/>
      </c>
      <c r="AJ26" s="5">
        <v>0.43121999999999999</v>
      </c>
      <c r="AK26" s="5">
        <v>0.44105</v>
      </c>
      <c r="AL26" s="5">
        <v>0.46189999999999998</v>
      </c>
      <c r="AM26" s="5">
        <f t="shared" si="7"/>
        <v>0.4447233333333333</v>
      </c>
      <c r="AN26" s="5" t="str">
        <f ca="1">IFERROR(_xludf.STDEV.S(AJ26:AL26)/AVERAGE(AJ26:AL26)*100,"")</f>
        <v/>
      </c>
    </row>
    <row r="27" spans="1:40">
      <c r="A27" s="4" t="s">
        <v>54</v>
      </c>
      <c r="B27" s="4" t="s">
        <v>42</v>
      </c>
      <c r="C27" s="5">
        <v>7207.6650390000004</v>
      </c>
      <c r="D27" s="5">
        <v>5935.7504879999997</v>
      </c>
      <c r="E27" s="5">
        <v>5692.5537109999996</v>
      </c>
      <c r="F27" s="5">
        <f t="shared" si="0"/>
        <v>6278.6564126666672</v>
      </c>
      <c r="G27" s="5" t="str">
        <f ca="1">IFERROR(_xludf.STDEV.S(C27:E27)/AVERAGE(C27:E27)*100,"")</f>
        <v/>
      </c>
      <c r="H27" s="5" t="str">
        <f t="shared" si="1"/>
        <v>MDV-positive</v>
      </c>
      <c r="I27" s="5">
        <f>INDEX(Bird_Summary!$D$2:$D$24,MATCH(A27,Bird_Summary!$A$2:$A$24,0))</f>
        <v>6887.3106419601445</v>
      </c>
      <c r="J27" s="5" t="str">
        <f>INDEX(Bird_Summary!$F$2:$F$24,MATCH(A27,Bird_Summary!$A$2:$A$24,0))</f>
        <v>Higher</v>
      </c>
      <c r="K27" s="5">
        <v>0.82006000000000001</v>
      </c>
      <c r="L27" s="5">
        <v>0.90320999999999996</v>
      </c>
      <c r="M27" s="5">
        <v>0.90673000000000004</v>
      </c>
      <c r="N27" s="5">
        <f t="shared" si="2"/>
        <v>0.87666666666666659</v>
      </c>
      <c r="O27" s="5" t="str">
        <f ca="1">IFERROR(_xludf.STDEV.S(K27:M27)/AVERAGE(K27:M27)*100,"")</f>
        <v/>
      </c>
      <c r="P27" s="5">
        <v>0.13317999999999999</v>
      </c>
      <c r="Q27" s="5">
        <v>0.12300999999999999</v>
      </c>
      <c r="R27" s="5">
        <v>0.13383999999999999</v>
      </c>
      <c r="S27" s="5">
        <f t="shared" si="3"/>
        <v>0.13000999999999999</v>
      </c>
      <c r="T27" s="5" t="str">
        <f ca="1">IFERROR(_xludf.STDEV.S(P27:R27)/AVERAGE(P27:R27)*100,"")</f>
        <v/>
      </c>
      <c r="U27" s="5">
        <v>3.1192099999999998</v>
      </c>
      <c r="V27" s="5">
        <v>2.95173</v>
      </c>
      <c r="W27" s="5">
        <v>3.08812</v>
      </c>
      <c r="X27" s="5">
        <f t="shared" si="4"/>
        <v>3.0530200000000001</v>
      </c>
      <c r="Y27" s="5" t="str">
        <f ca="1">IFERROR(_xludf.STDEV.S(U27:W27)/AVERAGE(U27:W27)*100,"")</f>
        <v/>
      </c>
      <c r="Z27" s="5">
        <v>3.1230000000000002</v>
      </c>
      <c r="AA27" s="5">
        <v>3.1215899999999999</v>
      </c>
      <c r="AB27" s="5">
        <v>3.4615499999999999</v>
      </c>
      <c r="AC27" s="5">
        <f t="shared" si="5"/>
        <v>3.2353800000000006</v>
      </c>
      <c r="AD27" s="5" t="str">
        <f ca="1">IFERROR(_xludf.STDEV.S(Z27:AB27)/AVERAGE(Z27:AB27)*100,"")</f>
        <v/>
      </c>
      <c r="AE27" s="5">
        <v>3.9222100000000002</v>
      </c>
      <c r="AF27" s="5">
        <v>3.8370899999999999</v>
      </c>
      <c r="AG27" s="5">
        <v>3.4816099999999999</v>
      </c>
      <c r="AH27" s="5">
        <f t="shared" si="6"/>
        <v>3.7469699999999997</v>
      </c>
      <c r="AI27" s="5" t="str">
        <f ca="1">IFERROR(_xludf.STDEV.S(AE27:AG27)/AVERAGE(AE27:AG27)*100,"")</f>
        <v/>
      </c>
      <c r="AJ27" s="5">
        <v>0.50175999999999998</v>
      </c>
      <c r="AK27" s="5">
        <v>0.49238999999999999</v>
      </c>
      <c r="AL27" s="5">
        <v>0.45226</v>
      </c>
      <c r="AM27" s="5">
        <f t="shared" si="7"/>
        <v>0.48213666666666666</v>
      </c>
      <c r="AN27" s="5" t="str">
        <f ca="1">IFERROR(_xludf.STDEV.S(AJ27:AL27)/AVERAGE(AJ27:AL27)*100,"")</f>
        <v/>
      </c>
    </row>
    <row r="28" spans="1:40">
      <c r="A28" s="4" t="s">
        <v>55</v>
      </c>
      <c r="B28" s="4" t="s">
        <v>41</v>
      </c>
      <c r="C28" s="5">
        <v>3513.1928710000002</v>
      </c>
      <c r="D28" s="5">
        <v>3606.0102539999998</v>
      </c>
      <c r="E28" s="5">
        <v>3843.5986330000001</v>
      </c>
      <c r="F28" s="5">
        <f t="shared" si="0"/>
        <v>3654.2672526666665</v>
      </c>
      <c r="G28" s="5" t="str">
        <f ca="1">IFERROR(_xludf.STDEV.S(C28:E28)/AVERAGE(C28:E28)*100,"")</f>
        <v/>
      </c>
      <c r="H28" s="5" t="str">
        <f t="shared" si="1"/>
        <v>MDV-positive</v>
      </c>
      <c r="I28" s="5">
        <f>INDEX(Bird_Summary!$D$2:$D$24,MATCH(A28,Bird_Summary!$A$2:$A$24,0))</f>
        <v>1972.3228187262162</v>
      </c>
      <c r="J28" s="5" t="str">
        <f>INDEX(Bird_Summary!$F$2:$F$24,MATCH(A28,Bird_Summary!$A$2:$A$24,0))</f>
        <v>Lower</v>
      </c>
      <c r="K28" s="5">
        <v>0.76202000000000003</v>
      </c>
      <c r="L28" s="5">
        <v>0.83587</v>
      </c>
      <c r="M28" s="5">
        <v>0.76063999999999998</v>
      </c>
      <c r="N28" s="5">
        <f t="shared" si="2"/>
        <v>0.78617666666666663</v>
      </c>
      <c r="O28" s="5" t="str">
        <f ca="1">IFERROR(_xludf.STDEV.S(K28:M28)/AVERAGE(K28:M28)*100,"")</f>
        <v/>
      </c>
      <c r="P28" s="5">
        <v>0.11003</v>
      </c>
      <c r="Q28" s="5">
        <v>0.1148</v>
      </c>
      <c r="R28" s="5">
        <v>0.10431</v>
      </c>
      <c r="S28" s="5">
        <f t="shared" si="3"/>
        <v>0.10971333333333333</v>
      </c>
      <c r="T28" s="5" t="str">
        <f ca="1">IFERROR(_xludf.STDEV.S(P28:R28)/AVERAGE(P28:R28)*100,"")</f>
        <v/>
      </c>
      <c r="U28" s="5">
        <v>2.4805299999999999</v>
      </c>
      <c r="V28" s="5">
        <v>2.64493</v>
      </c>
      <c r="W28" s="5">
        <v>2.5988199999999999</v>
      </c>
      <c r="X28" s="5">
        <f t="shared" si="4"/>
        <v>2.5747599999999999</v>
      </c>
      <c r="Y28" s="5" t="str">
        <f ca="1">IFERROR(_xludf.STDEV.S(U28:W28)/AVERAGE(U28:W28)*100,"")</f>
        <v/>
      </c>
      <c r="Z28" s="5">
        <v>6.2297599999999997</v>
      </c>
      <c r="AA28" s="5">
        <v>6.9323199999999998</v>
      </c>
      <c r="AB28" s="5">
        <v>6.5532000000000004</v>
      </c>
      <c r="AC28" s="5">
        <f t="shared" si="5"/>
        <v>6.5717600000000003</v>
      </c>
      <c r="AD28" s="5" t="str">
        <f ca="1">IFERROR(_xludf.STDEV.S(Z28:AB28)/AVERAGE(Z28:AB28)*100,"")</f>
        <v/>
      </c>
      <c r="AE28" s="5">
        <v>5.0098500000000001</v>
      </c>
      <c r="AF28" s="5">
        <v>4.6260500000000002</v>
      </c>
      <c r="AG28" s="5">
        <v>4.4581799999999996</v>
      </c>
      <c r="AH28" s="5">
        <f t="shared" si="6"/>
        <v>4.6980266666666664</v>
      </c>
      <c r="AI28" s="5" t="str">
        <f ca="1">IFERROR(_xludf.STDEV.S(AE28:AG28)/AVERAGE(AE28:AG28)*100,"")</f>
        <v/>
      </c>
      <c r="AJ28" s="5">
        <v>0.52690000000000003</v>
      </c>
      <c r="AK28" s="5">
        <v>0.57567000000000002</v>
      </c>
      <c r="AL28" s="5">
        <v>0.53432000000000002</v>
      </c>
      <c r="AM28" s="5">
        <f t="shared" si="7"/>
        <v>0.54563000000000006</v>
      </c>
      <c r="AN28" s="5" t="str">
        <f ca="1">IFERROR(_xludf.STDEV.S(AJ28:AL28)/AVERAGE(AJ28:AL28)*100,"")</f>
        <v/>
      </c>
    </row>
    <row r="29" spans="1:40">
      <c r="A29" s="4" t="s">
        <v>55</v>
      </c>
      <c r="B29" s="4" t="s">
        <v>42</v>
      </c>
      <c r="C29" s="5">
        <v>926.09234619999995</v>
      </c>
      <c r="D29" s="5">
        <v>990.56719969999995</v>
      </c>
      <c r="E29" s="5">
        <v>1276.9141850000001</v>
      </c>
      <c r="F29" s="5">
        <f t="shared" si="0"/>
        <v>1064.5245769666667</v>
      </c>
      <c r="G29" s="5" t="str">
        <f ca="1">IFERROR(_xludf.STDEV.S(C29:E29)/AVERAGE(C29:E29)*100,"")</f>
        <v/>
      </c>
      <c r="H29" s="5" t="str">
        <f t="shared" si="1"/>
        <v>MDV-positive</v>
      </c>
      <c r="I29" s="5">
        <f>INDEX(Bird_Summary!$D$2:$D$24,MATCH(A29,Bird_Summary!$A$2:$A$24,0))</f>
        <v>1972.3228187262162</v>
      </c>
      <c r="J29" s="5" t="str">
        <f>INDEX(Bird_Summary!$F$2:$F$24,MATCH(A29,Bird_Summary!$A$2:$A$24,0))</f>
        <v>Lower</v>
      </c>
      <c r="K29" s="5">
        <v>1.04369</v>
      </c>
      <c r="L29" s="5">
        <v>1.14995</v>
      </c>
      <c r="M29" s="5">
        <v>1.07738</v>
      </c>
      <c r="N29" s="5">
        <f t="shared" si="2"/>
        <v>1.0903400000000001</v>
      </c>
      <c r="O29" s="5" t="str">
        <f ca="1">IFERROR(_xludf.STDEV.S(K29:M29)/AVERAGE(K29:M29)*100,"")</f>
        <v/>
      </c>
      <c r="P29" s="5">
        <v>0.12227</v>
      </c>
      <c r="Q29" s="5">
        <v>0.11649</v>
      </c>
      <c r="R29" s="5">
        <v>0.10921</v>
      </c>
      <c r="S29" s="5">
        <f t="shared" si="3"/>
        <v>0.11599</v>
      </c>
      <c r="T29" s="5" t="str">
        <f ca="1">IFERROR(_xludf.STDEV.S(P29:R29)/AVERAGE(P29:R29)*100,"")</f>
        <v/>
      </c>
      <c r="U29" s="5">
        <v>1.98248</v>
      </c>
      <c r="V29" s="5">
        <v>1.7681899999999999</v>
      </c>
      <c r="W29" s="5">
        <v>1.8128500000000001</v>
      </c>
      <c r="X29" s="5">
        <f t="shared" si="4"/>
        <v>1.8545066666666667</v>
      </c>
      <c r="Y29" s="5" t="str">
        <f ca="1">IFERROR(_xludf.STDEV.S(U29:W29)/AVERAGE(U29:W29)*100,"")</f>
        <v/>
      </c>
      <c r="Z29" s="5">
        <v>5.5373799999999997</v>
      </c>
      <c r="AA29" s="5">
        <v>5.1983699999999997</v>
      </c>
      <c r="AB29" s="5">
        <v>5.0788399999999996</v>
      </c>
      <c r="AC29" s="5">
        <f t="shared" si="5"/>
        <v>5.2715299999999994</v>
      </c>
      <c r="AD29" s="5" t="str">
        <f ca="1">IFERROR(_xludf.STDEV.S(Z29:AB29)/AVERAGE(Z29:AB29)*100,"")</f>
        <v/>
      </c>
      <c r="AE29" s="5">
        <v>4.0656699999999999</v>
      </c>
      <c r="AF29" s="5">
        <v>4.1453199999999999</v>
      </c>
      <c r="AG29" s="5">
        <v>4.4139400000000002</v>
      </c>
      <c r="AH29" s="5">
        <f t="shared" si="6"/>
        <v>4.20831</v>
      </c>
      <c r="AI29" s="5" t="str">
        <f ca="1">IFERROR(_xludf.STDEV.S(AE29:AG29)/AVERAGE(AE29:AG29)*100,"")</f>
        <v/>
      </c>
      <c r="AJ29" s="5">
        <v>0.57979000000000003</v>
      </c>
      <c r="AK29" s="5">
        <v>0.56169999999999998</v>
      </c>
      <c r="AL29" s="5">
        <v>0.52785000000000004</v>
      </c>
      <c r="AM29" s="5">
        <f t="shared" si="7"/>
        <v>0.55644666666666665</v>
      </c>
      <c r="AN29" s="5" t="str">
        <f ca="1">IFERROR(_xludf.STDEV.S(AJ29:AL29)/AVERAGE(AJ29:AL29)*100,"")</f>
        <v/>
      </c>
    </row>
    <row r="30" spans="1:40">
      <c r="A30" s="4" t="s">
        <v>56</v>
      </c>
      <c r="B30" s="4" t="s">
        <v>41</v>
      </c>
      <c r="C30" s="5">
        <v>31843.59863</v>
      </c>
      <c r="D30" s="5">
        <v>29794.452990000002</v>
      </c>
      <c r="E30" s="5">
        <v>29874.79883</v>
      </c>
      <c r="F30" s="5">
        <f t="shared" si="0"/>
        <v>30504.283483333333</v>
      </c>
      <c r="G30" s="5" t="str">
        <f ca="1">IFERROR(_xludf.STDEV.S(C30:E30)/AVERAGE(C30:E30)*100,"")</f>
        <v/>
      </c>
      <c r="H30" s="5" t="str">
        <f t="shared" si="1"/>
        <v>MDV-positive</v>
      </c>
      <c r="I30" s="5">
        <f>INDEX(Bird_Summary!$D$2:$D$24,MATCH(A30,Bird_Summary!$A$2:$A$24,0))</f>
        <v>5552.3312457664078</v>
      </c>
      <c r="J30" s="5" t="str">
        <f>INDEX(Bird_Summary!$F$2:$F$24,MATCH(A30,Bird_Summary!$A$2:$A$24,0))</f>
        <v>Higher</v>
      </c>
      <c r="K30" s="5">
        <v>0.66115000000000002</v>
      </c>
      <c r="L30" s="5">
        <v>0.67334000000000005</v>
      </c>
      <c r="M30" s="5">
        <v>0.69608999999999999</v>
      </c>
      <c r="N30" s="5">
        <f t="shared" si="2"/>
        <v>0.67686000000000002</v>
      </c>
      <c r="O30" s="5" t="str">
        <f ca="1">IFERROR(_xludf.STDEV.S(K30:M30)/AVERAGE(K30:M30)*100,"")</f>
        <v/>
      </c>
      <c r="P30" s="5">
        <v>6.268E-2</v>
      </c>
      <c r="Q30" s="5">
        <v>5.9130000000000002E-2</v>
      </c>
      <c r="R30" s="5">
        <v>6.2899999999999998E-2</v>
      </c>
      <c r="S30" s="5">
        <f t="shared" si="3"/>
        <v>6.1569999999999993E-2</v>
      </c>
      <c r="T30" s="5" t="str">
        <f ca="1">IFERROR(_xludf.STDEV.S(P30:R30)/AVERAGE(P30:R30)*100,"")</f>
        <v/>
      </c>
      <c r="U30" s="5">
        <v>4.5088400000000002</v>
      </c>
      <c r="V30" s="5">
        <v>5.0911400000000002</v>
      </c>
      <c r="W30" s="5">
        <v>4.8904399999999999</v>
      </c>
      <c r="X30" s="5">
        <f t="shared" si="4"/>
        <v>4.8301400000000001</v>
      </c>
      <c r="Y30" s="5" t="str">
        <f ca="1">IFERROR(_xludf.STDEV.S(U30:W30)/AVERAGE(U30:W30)*100,"")</f>
        <v/>
      </c>
      <c r="Z30" s="5">
        <v>3.8139400000000001</v>
      </c>
      <c r="AA30" s="5">
        <v>3.7564899999999999</v>
      </c>
      <c r="AB30" s="5">
        <v>3.5269900000000001</v>
      </c>
      <c r="AC30" s="5">
        <f t="shared" si="5"/>
        <v>3.6991399999999999</v>
      </c>
      <c r="AD30" s="5" t="str">
        <f ca="1">IFERROR(_xludf.STDEV.S(Z30:AB30)/AVERAGE(Z30:AB30)*100,"")</f>
        <v/>
      </c>
      <c r="AE30" s="5">
        <v>7.7243599999999999</v>
      </c>
      <c r="AF30" s="5">
        <v>7.1945499999999996</v>
      </c>
      <c r="AG30" s="5">
        <v>7.8147599999999997</v>
      </c>
      <c r="AH30" s="5">
        <f t="shared" si="6"/>
        <v>7.57789</v>
      </c>
      <c r="AI30" s="5" t="str">
        <f ca="1">IFERROR(_xludf.STDEV.S(AE30:AG30)/AVERAGE(AE30:AG30)*100,"")</f>
        <v/>
      </c>
      <c r="AJ30" s="5">
        <v>0.45489000000000002</v>
      </c>
      <c r="AK30" s="5">
        <v>0.42460999999999999</v>
      </c>
      <c r="AL30" s="5">
        <v>0.47271999999999997</v>
      </c>
      <c r="AM30" s="5">
        <f t="shared" si="7"/>
        <v>0.45073999999999997</v>
      </c>
      <c r="AN30" s="5" t="str">
        <f ca="1">IFERROR(_xludf.STDEV.S(AJ30:AL30)/AVERAGE(AJ30:AL30)*100,"")</f>
        <v/>
      </c>
    </row>
    <row r="31" spans="1:40">
      <c r="A31" s="4" t="s">
        <v>56</v>
      </c>
      <c r="B31" s="4" t="s">
        <v>42</v>
      </c>
      <c r="C31" s="5">
        <v>1067.498726</v>
      </c>
      <c r="D31" s="5">
        <v>1121.6236570000001</v>
      </c>
      <c r="E31" s="5">
        <v>842.75170900000001</v>
      </c>
      <c r="F31" s="5">
        <f t="shared" si="0"/>
        <v>1010.6246973333333</v>
      </c>
      <c r="G31" s="5" t="str">
        <f ca="1">IFERROR(_xludf.STDEV.S(C31:E31)/AVERAGE(C31:E31)*100,"")</f>
        <v/>
      </c>
      <c r="H31" s="5" t="str">
        <f t="shared" si="1"/>
        <v>MDV-positive</v>
      </c>
      <c r="I31" s="5">
        <f>INDEX(Bird_Summary!$D$2:$D$24,MATCH(A31,Bird_Summary!$A$2:$A$24,0))</f>
        <v>5552.3312457664078</v>
      </c>
      <c r="J31" s="5" t="str">
        <f>INDEX(Bird_Summary!$F$2:$F$24,MATCH(A31,Bird_Summary!$A$2:$A$24,0))</f>
        <v>Higher</v>
      </c>
      <c r="K31" s="5">
        <v>1.0550999999999999</v>
      </c>
      <c r="L31" s="5">
        <v>0.98163</v>
      </c>
      <c r="M31" s="5">
        <v>1.0260899999999999</v>
      </c>
      <c r="N31" s="5">
        <f t="shared" si="2"/>
        <v>1.02094</v>
      </c>
      <c r="O31" s="5" t="str">
        <f ca="1">IFERROR(_xludf.STDEV.S(K31:M31)/AVERAGE(K31:M31)*100,"")</f>
        <v/>
      </c>
      <c r="P31" s="5">
        <v>0.13396</v>
      </c>
      <c r="Q31" s="5">
        <v>0.13625000000000001</v>
      </c>
      <c r="R31" s="5">
        <v>0.14204</v>
      </c>
      <c r="S31" s="5">
        <f t="shared" si="3"/>
        <v>0.13741666666666666</v>
      </c>
      <c r="T31" s="5" t="str">
        <f ca="1">IFERROR(_xludf.STDEV.S(P31:R31)/AVERAGE(P31:R31)*100,"")</f>
        <v/>
      </c>
      <c r="U31" s="5">
        <v>3.26613</v>
      </c>
      <c r="V31" s="5">
        <v>3.23177</v>
      </c>
      <c r="W31" s="5">
        <v>3.52312</v>
      </c>
      <c r="X31" s="5">
        <f t="shared" si="4"/>
        <v>3.3403399999999999</v>
      </c>
      <c r="Y31" s="5" t="str">
        <f ca="1">IFERROR(_xludf.STDEV.S(U31:W31)/AVERAGE(U31:W31)*100,"")</f>
        <v/>
      </c>
      <c r="Z31" s="5">
        <v>4.2886300000000004</v>
      </c>
      <c r="AA31" s="5">
        <v>4.1826699999999999</v>
      </c>
      <c r="AB31" s="5">
        <v>3.9534099999999999</v>
      </c>
      <c r="AC31" s="5">
        <f t="shared" si="5"/>
        <v>4.1415699999999998</v>
      </c>
      <c r="AD31" s="5" t="str">
        <f ca="1">IFERROR(_xludf.STDEV.S(Z31:AB31)/AVERAGE(Z31:AB31)*100,"")</f>
        <v/>
      </c>
      <c r="AE31" s="5">
        <v>1.8164199999999999</v>
      </c>
      <c r="AF31" s="5">
        <v>1.6816500000000001</v>
      </c>
      <c r="AG31" s="5">
        <v>1.6877899999999999</v>
      </c>
      <c r="AH31" s="5">
        <f t="shared" si="6"/>
        <v>1.72862</v>
      </c>
      <c r="AI31" s="5" t="str">
        <f ca="1">IFERROR(_xludf.STDEV.S(AE31:AG31)/AVERAGE(AE31:AG31)*100,"")</f>
        <v/>
      </c>
      <c r="AJ31" s="5">
        <v>0.78419000000000005</v>
      </c>
      <c r="AK31" s="5">
        <v>0.83686000000000005</v>
      </c>
      <c r="AL31" s="5">
        <v>0.74951999999999996</v>
      </c>
      <c r="AM31" s="5">
        <f t="shared" si="7"/>
        <v>0.79018999999999995</v>
      </c>
      <c r="AN31" s="5" t="str">
        <f ca="1">IFERROR(_xludf.STDEV.S(AJ31:AL31)/AVERAGE(AJ31:AL31)*100,"")</f>
        <v/>
      </c>
    </row>
    <row r="32" spans="1:40">
      <c r="A32" s="4" t="s">
        <v>57</v>
      </c>
      <c r="B32" s="4" t="s">
        <v>41</v>
      </c>
      <c r="C32" s="5">
        <v>1438.6685789999999</v>
      </c>
      <c r="D32" s="5">
        <v>1651.9654539999999</v>
      </c>
      <c r="E32" s="5">
        <v>1654.9121090000001</v>
      </c>
      <c r="F32" s="5">
        <f t="shared" si="0"/>
        <v>1581.848714</v>
      </c>
      <c r="G32" s="5" t="str">
        <f ca="1">IFERROR(_xludf.STDEV.S(C32:E32)/AVERAGE(C32:E32)*100,"")</f>
        <v/>
      </c>
      <c r="H32" s="5" t="str">
        <f t="shared" si="1"/>
        <v>MDV-positive</v>
      </c>
      <c r="I32" s="5">
        <f>INDEX(Bird_Summary!$D$2:$D$24,MATCH(A32,Bird_Summary!$A$2:$A$24,0))</f>
        <v>4618.9924022879031</v>
      </c>
      <c r="J32" s="5" t="str">
        <f>INDEX(Bird_Summary!$F$2:$F$24,MATCH(A32,Bird_Summary!$A$2:$A$24,0))</f>
        <v>Higher</v>
      </c>
      <c r="K32" s="5">
        <v>1.3491599999999999</v>
      </c>
      <c r="L32" s="5">
        <v>1.49336</v>
      </c>
      <c r="M32" s="5">
        <v>1.3435900000000001</v>
      </c>
      <c r="N32" s="5">
        <f t="shared" si="2"/>
        <v>1.39537</v>
      </c>
      <c r="O32" s="5" t="str">
        <f ca="1">IFERROR(_xludf.STDEV.S(K32:M32)/AVERAGE(K32:M32)*100,"")</f>
        <v/>
      </c>
      <c r="P32" s="5">
        <v>8.6790000000000006E-2</v>
      </c>
      <c r="Q32" s="5">
        <v>8.7300000000000003E-2</v>
      </c>
      <c r="R32" s="5">
        <v>9.5399999999999999E-2</v>
      </c>
      <c r="S32" s="5">
        <f t="shared" si="3"/>
        <v>8.9830000000000007E-2</v>
      </c>
      <c r="T32" s="5" t="str">
        <f ca="1">IFERROR(_xludf.STDEV.S(P32:R32)/AVERAGE(P32:R32)*100,"")</f>
        <v/>
      </c>
      <c r="U32" s="5">
        <v>1.2741899999999999</v>
      </c>
      <c r="V32" s="5">
        <v>1.2107300000000001</v>
      </c>
      <c r="W32" s="5">
        <v>1.3533900000000001</v>
      </c>
      <c r="X32" s="5">
        <f t="shared" si="4"/>
        <v>1.2794366666666666</v>
      </c>
      <c r="Y32" s="5" t="str">
        <f ca="1">IFERROR(_xludf.STDEV.S(U32:W32)/AVERAGE(U32:W32)*100,"")</f>
        <v/>
      </c>
      <c r="Z32" s="5">
        <v>2.80105</v>
      </c>
      <c r="AA32" s="5">
        <v>2.9422199999999998</v>
      </c>
      <c r="AB32" s="5">
        <v>2.6444299999999998</v>
      </c>
      <c r="AC32" s="5">
        <f t="shared" si="5"/>
        <v>2.7958999999999996</v>
      </c>
      <c r="AD32" s="5" t="str">
        <f ca="1">IFERROR(_xludf.STDEV.S(Z32:AB32)/AVERAGE(Z32:AB32)*100,"")</f>
        <v/>
      </c>
      <c r="AE32" s="5">
        <v>0.69579000000000002</v>
      </c>
      <c r="AF32" s="5">
        <v>0.72211999999999998</v>
      </c>
      <c r="AG32" s="5">
        <v>0.64410999999999996</v>
      </c>
      <c r="AH32" s="5">
        <f t="shared" si="6"/>
        <v>0.68733999999999995</v>
      </c>
      <c r="AI32" s="5" t="str">
        <f ca="1">IFERROR(_xludf.STDEV.S(AE32:AG32)/AVERAGE(AE32:AG32)*100,"")</f>
        <v/>
      </c>
      <c r="AJ32" s="5">
        <v>0.12872</v>
      </c>
      <c r="AK32" s="5">
        <v>0.13324</v>
      </c>
      <c r="AL32" s="5">
        <v>0.13536000000000001</v>
      </c>
      <c r="AM32" s="5">
        <f t="shared" si="7"/>
        <v>0.13244</v>
      </c>
      <c r="AN32" s="5" t="str">
        <f ca="1">IFERROR(_xludf.STDEV.S(AJ32:AL32)/AVERAGE(AJ32:AL32)*100,"")</f>
        <v/>
      </c>
    </row>
    <row r="33" spans="1:40">
      <c r="A33" s="4" t="s">
        <v>57</v>
      </c>
      <c r="B33" s="4" t="s">
        <v>42</v>
      </c>
      <c r="C33" s="5">
        <v>13257.9375</v>
      </c>
      <c r="D33" s="5">
        <v>17775.126950000002</v>
      </c>
      <c r="E33" s="5">
        <v>9429.2578130000002</v>
      </c>
      <c r="F33" s="5">
        <f t="shared" si="0"/>
        <v>13487.440754333335</v>
      </c>
      <c r="G33" s="5" t="str">
        <f ca="1">IFERROR(_xludf.STDEV.S(C33:E33)/AVERAGE(C33:E33)*100,"")</f>
        <v/>
      </c>
      <c r="H33" s="5" t="str">
        <f t="shared" si="1"/>
        <v>MDV-positive</v>
      </c>
      <c r="I33" s="5">
        <f>INDEX(Bird_Summary!$D$2:$D$24,MATCH(A33,Bird_Summary!$A$2:$A$24,0))</f>
        <v>4618.9924022879031</v>
      </c>
      <c r="J33" s="5" t="str">
        <f>INDEX(Bird_Summary!$F$2:$F$24,MATCH(A33,Bird_Summary!$A$2:$A$24,0))</f>
        <v>Higher</v>
      </c>
      <c r="K33" s="5">
        <v>1.19398</v>
      </c>
      <c r="L33" s="5">
        <v>1.1045700000000001</v>
      </c>
      <c r="M33" s="5">
        <v>1.1861200000000001</v>
      </c>
      <c r="N33" s="5">
        <f t="shared" si="2"/>
        <v>1.1615566666666668</v>
      </c>
      <c r="O33" s="5" t="str">
        <f ca="1">IFERROR(_xludf.STDEV.S(K33:M33)/AVERAGE(K33:M33)*100,"")</f>
        <v/>
      </c>
      <c r="P33" s="5">
        <v>0.11022999999999999</v>
      </c>
      <c r="Q33" s="5">
        <v>0.10340000000000001</v>
      </c>
      <c r="R33" s="5">
        <v>0.11541</v>
      </c>
      <c r="S33" s="5">
        <f t="shared" si="3"/>
        <v>0.10968</v>
      </c>
      <c r="T33" s="5" t="str">
        <f ca="1">IFERROR(_xludf.STDEV.S(P33:R33)/AVERAGE(P33:R33)*100,"")</f>
        <v/>
      </c>
      <c r="U33" s="5">
        <v>1.6427</v>
      </c>
      <c r="V33" s="5">
        <v>1.7068700000000001</v>
      </c>
      <c r="W33" s="5">
        <v>1.5621700000000001</v>
      </c>
      <c r="X33" s="5">
        <f t="shared" si="4"/>
        <v>1.6372466666666667</v>
      </c>
      <c r="Y33" s="5" t="str">
        <f ca="1">IFERROR(_xludf.STDEV.S(U33:W33)/AVERAGE(U33:W33)*100,"")</f>
        <v/>
      </c>
      <c r="Z33" s="5">
        <v>2.22281</v>
      </c>
      <c r="AA33" s="5">
        <v>2.33527</v>
      </c>
      <c r="AB33" s="5">
        <v>2.2195999999999998</v>
      </c>
      <c r="AC33" s="5">
        <f t="shared" si="5"/>
        <v>2.2592266666666667</v>
      </c>
      <c r="AD33" s="5" t="str">
        <f ca="1">IFERROR(_xludf.STDEV.S(Z33:AB33)/AVERAGE(Z33:AB33)*100,"")</f>
        <v/>
      </c>
      <c r="AE33" s="5">
        <v>2.92049</v>
      </c>
      <c r="AF33" s="5">
        <v>2.5823700000000001</v>
      </c>
      <c r="AG33" s="5">
        <v>2.8412500000000001</v>
      </c>
      <c r="AH33" s="5">
        <f t="shared" si="6"/>
        <v>2.7813700000000003</v>
      </c>
      <c r="AI33" s="5" t="str">
        <f ca="1">IFERROR(_xludf.STDEV.S(AE33:AG33)/AVERAGE(AE33:AG33)*100,"")</f>
        <v/>
      </c>
      <c r="AJ33" s="5">
        <v>0.17533000000000001</v>
      </c>
      <c r="AK33" s="5">
        <v>0.19627</v>
      </c>
      <c r="AL33" s="5">
        <v>0.18503</v>
      </c>
      <c r="AM33" s="5">
        <f t="shared" si="7"/>
        <v>0.18554333333333337</v>
      </c>
      <c r="AN33" s="5" t="str">
        <f ca="1">IFERROR(_xludf.STDEV.S(AJ33:AL33)/AVERAGE(AJ33:AL33)*100,"")</f>
        <v/>
      </c>
    </row>
    <row r="34" spans="1:40">
      <c r="A34" s="4" t="s">
        <v>58</v>
      </c>
      <c r="B34" s="4" t="s">
        <v>41</v>
      </c>
      <c r="C34" s="5">
        <v>20480.082030000001</v>
      </c>
      <c r="D34" s="5">
        <v>21623.566409999999</v>
      </c>
      <c r="E34" s="5">
        <v>20515.527340000001</v>
      </c>
      <c r="F34" s="5">
        <f t="shared" si="0"/>
        <v>20873.058593333335</v>
      </c>
      <c r="G34" s="5" t="str">
        <f ca="1">IFERROR(_xludf.STDEV.S(C34:E34)/AVERAGE(C34:E34)*100,"")</f>
        <v/>
      </c>
      <c r="H34" s="5" t="str">
        <f t="shared" si="1"/>
        <v>MDV-positive</v>
      </c>
      <c r="I34" s="5">
        <f>INDEX(Bird_Summary!$D$2:$D$24,MATCH(A34,Bird_Summary!$A$2:$A$24,0))</f>
        <v>32804.400430692906</v>
      </c>
      <c r="J34" s="5" t="str">
        <f>INDEX(Bird_Summary!$F$2:$F$24,MATCH(A34,Bird_Summary!$A$2:$A$24,0))</f>
        <v>Higher</v>
      </c>
      <c r="K34" s="5">
        <v>0.78013999999999994</v>
      </c>
      <c r="L34" s="5">
        <v>0.77109000000000005</v>
      </c>
      <c r="M34" s="5">
        <v>0.82104999999999995</v>
      </c>
      <c r="N34" s="5">
        <f t="shared" si="2"/>
        <v>0.79076000000000002</v>
      </c>
      <c r="O34" s="5" t="str">
        <f ca="1">IFERROR(_xludf.STDEV.S(K34:M34)/AVERAGE(K34:M34)*100,"")</f>
        <v/>
      </c>
      <c r="P34" s="5">
        <v>0.10491</v>
      </c>
      <c r="Q34" s="5">
        <v>0.10804</v>
      </c>
      <c r="R34" s="5">
        <v>0.11036</v>
      </c>
      <c r="S34" s="5">
        <f t="shared" si="3"/>
        <v>0.10776999999999999</v>
      </c>
      <c r="T34" s="5" t="str">
        <f ca="1">IFERROR(_xludf.STDEV.S(P34:R34)/AVERAGE(P34:R34)*100,"")</f>
        <v/>
      </c>
      <c r="U34" s="5">
        <v>2.0005299999999999</v>
      </c>
      <c r="V34" s="5">
        <v>1.9543200000000001</v>
      </c>
      <c r="W34" s="5">
        <v>1.7908599999999999</v>
      </c>
      <c r="X34" s="5">
        <f t="shared" si="4"/>
        <v>1.9152366666666667</v>
      </c>
      <c r="Y34" s="5" t="str">
        <f ca="1">IFERROR(_xludf.STDEV.S(U34:W34)/AVERAGE(U34:W34)*100,"")</f>
        <v/>
      </c>
      <c r="Z34" s="5">
        <v>7.4870599999999996</v>
      </c>
      <c r="AA34" s="5">
        <v>6.7222499999999998</v>
      </c>
      <c r="AB34" s="5">
        <v>7.0264699999999998</v>
      </c>
      <c r="AC34" s="5">
        <f t="shared" si="5"/>
        <v>7.0785933333333331</v>
      </c>
      <c r="AD34" s="5" t="str">
        <f ca="1">IFERROR(_xludf.STDEV.S(Z34:AB34)/AVERAGE(Z34:AB34)*100,"")</f>
        <v/>
      </c>
      <c r="AE34" s="5">
        <v>5.7968000000000002</v>
      </c>
      <c r="AF34" s="5">
        <v>5.4651500000000004</v>
      </c>
      <c r="AG34" s="5">
        <v>5.1988399999999997</v>
      </c>
      <c r="AH34" s="5">
        <f t="shared" si="6"/>
        <v>5.4869300000000001</v>
      </c>
      <c r="AI34" s="5" t="str">
        <f ca="1">IFERROR(_xludf.STDEV.S(AE34:AG34)/AVERAGE(AE34:AG34)*100,"")</f>
        <v/>
      </c>
      <c r="AJ34" s="5">
        <v>0.79923999999999995</v>
      </c>
      <c r="AK34" s="5">
        <v>0.71853999999999996</v>
      </c>
      <c r="AL34" s="5">
        <v>0.78757999999999995</v>
      </c>
      <c r="AM34" s="5">
        <f t="shared" si="7"/>
        <v>0.76845333333333332</v>
      </c>
      <c r="AN34" s="5" t="str">
        <f ca="1">IFERROR(_xludf.STDEV.S(AJ34:AL34)/AVERAGE(AJ34:AL34)*100,"")</f>
        <v/>
      </c>
    </row>
    <row r="35" spans="1:40">
      <c r="A35" s="4" t="s">
        <v>58</v>
      </c>
      <c r="B35" s="4" t="s">
        <v>42</v>
      </c>
      <c r="C35" s="5">
        <v>47065.935060000003</v>
      </c>
      <c r="D35" s="5">
        <v>39851.89258</v>
      </c>
      <c r="E35" s="5">
        <v>67749.78125</v>
      </c>
      <c r="F35" s="5">
        <f t="shared" si="0"/>
        <v>51555.869630000001</v>
      </c>
      <c r="G35" s="5" t="str">
        <f ca="1">IFERROR(_xludf.STDEV.S(C35:E35)/AVERAGE(C35:E35)*100,"")</f>
        <v/>
      </c>
      <c r="H35" s="5" t="str">
        <f t="shared" si="1"/>
        <v>MDV-positive</v>
      </c>
      <c r="I35" s="5">
        <f>INDEX(Bird_Summary!$D$2:$D$24,MATCH(A35,Bird_Summary!$A$2:$A$24,0))</f>
        <v>32804.400430692906</v>
      </c>
      <c r="J35" s="5" t="str">
        <f>INDEX(Bird_Summary!$F$2:$F$24,MATCH(A35,Bird_Summary!$A$2:$A$24,0))</f>
        <v>Higher</v>
      </c>
      <c r="K35" s="5">
        <v>0.79630000000000001</v>
      </c>
      <c r="L35" s="5">
        <v>0.85148999999999997</v>
      </c>
      <c r="M35" s="5">
        <v>0.78493999999999997</v>
      </c>
      <c r="N35" s="5">
        <f t="shared" si="2"/>
        <v>0.81091000000000013</v>
      </c>
      <c r="O35" s="5" t="str">
        <f ca="1">IFERROR(_xludf.STDEV.S(K35:M35)/AVERAGE(K35:M35)*100,"")</f>
        <v/>
      </c>
      <c r="P35" s="5">
        <v>7.9589999999999994E-2</v>
      </c>
      <c r="Q35" s="5">
        <v>8.2180000000000003E-2</v>
      </c>
      <c r="R35" s="5">
        <v>7.8229999999999994E-2</v>
      </c>
      <c r="S35" s="5">
        <f t="shared" si="3"/>
        <v>0.08</v>
      </c>
      <c r="T35" s="5" t="str">
        <f ca="1">IFERROR(_xludf.STDEV.S(P35:R35)/AVERAGE(P35:R35)*100,"")</f>
        <v/>
      </c>
      <c r="U35" s="5">
        <v>4.8341900000000004</v>
      </c>
      <c r="V35" s="5">
        <v>4.8203899999999997</v>
      </c>
      <c r="W35" s="5">
        <v>4.3893300000000002</v>
      </c>
      <c r="X35" s="5">
        <f t="shared" si="4"/>
        <v>4.6813033333333331</v>
      </c>
      <c r="Y35" s="5" t="str">
        <f ca="1">IFERROR(_xludf.STDEV.S(U35:W35)/AVERAGE(U35:W35)*100,"")</f>
        <v/>
      </c>
      <c r="Z35" s="5">
        <v>9.3622300000000003</v>
      </c>
      <c r="AA35" s="5">
        <v>9.9740800000000007</v>
      </c>
      <c r="AB35" s="5">
        <v>10.03369</v>
      </c>
      <c r="AC35" s="5">
        <f t="shared" si="5"/>
        <v>9.7900000000000009</v>
      </c>
      <c r="AD35" s="5" t="str">
        <f ca="1">IFERROR(_xludf.STDEV.S(Z35:AB35)/AVERAGE(Z35:AB35)*100,"")</f>
        <v/>
      </c>
      <c r="AE35" s="5">
        <v>2.8416899999999998</v>
      </c>
      <c r="AF35" s="5">
        <v>2.6488499999999999</v>
      </c>
      <c r="AG35" s="5">
        <v>2.7485400000000002</v>
      </c>
      <c r="AH35" s="5">
        <f t="shared" si="6"/>
        <v>2.7463599999999997</v>
      </c>
      <c r="AI35" s="5" t="str">
        <f ca="1">IFERROR(_xludf.STDEV.S(AE35:AG35)/AVERAGE(AE35:AG35)*100,"")</f>
        <v/>
      </c>
      <c r="AJ35" s="5">
        <v>0.49795</v>
      </c>
      <c r="AK35" s="5">
        <v>0.49109000000000003</v>
      </c>
      <c r="AL35" s="5">
        <v>0.51800999999999997</v>
      </c>
      <c r="AM35" s="5">
        <f t="shared" si="7"/>
        <v>0.50234999999999996</v>
      </c>
      <c r="AN35" s="5" t="str">
        <f ca="1">IFERROR(_xludf.STDEV.S(AJ35:AL35)/AVERAGE(AJ35:AL35)*100,"")</f>
        <v/>
      </c>
    </row>
    <row r="36" spans="1:40">
      <c r="A36" s="4" t="s">
        <v>59</v>
      </c>
      <c r="B36" s="4" t="s">
        <v>41</v>
      </c>
      <c r="C36" s="5">
        <v>3915.1369629999999</v>
      </c>
      <c r="D36" s="5">
        <v>3606.8305660000001</v>
      </c>
      <c r="E36" s="5">
        <v>3482.1530760000001</v>
      </c>
      <c r="F36" s="5">
        <f t="shared" si="0"/>
        <v>3668.0402016666667</v>
      </c>
      <c r="G36" s="5" t="str">
        <f ca="1">IFERROR(_xludf.STDEV.S(C36:E36)/AVERAGE(C36:E36)*100,"")</f>
        <v/>
      </c>
      <c r="H36" s="5" t="str">
        <f t="shared" si="1"/>
        <v>MDV-positive</v>
      </c>
      <c r="I36" s="5">
        <f>INDEX(Bird_Summary!$D$2:$D$24,MATCH(A36,Bird_Summary!$A$2:$A$24,0))</f>
        <v>2163.5260798302011</v>
      </c>
      <c r="J36" s="5" t="str">
        <f>INDEX(Bird_Summary!$F$2:$F$24,MATCH(A36,Bird_Summary!$A$2:$A$24,0))</f>
        <v>Lower</v>
      </c>
      <c r="K36" s="5">
        <v>0.94574999999999998</v>
      </c>
      <c r="L36" s="5">
        <v>1.01681</v>
      </c>
      <c r="M36" s="5">
        <v>1.0137400000000001</v>
      </c>
      <c r="N36" s="5">
        <f t="shared" si="2"/>
        <v>0.99210000000000009</v>
      </c>
      <c r="O36" s="5" t="str">
        <f ca="1">IFERROR(_xludf.STDEV.S(K36:M36)/AVERAGE(K36:M36)*100,"")</f>
        <v/>
      </c>
      <c r="P36" s="5">
        <v>8.4360000000000004E-2</v>
      </c>
      <c r="Q36" s="5">
        <v>8.1519999999999995E-2</v>
      </c>
      <c r="R36" s="5">
        <v>9.2090000000000005E-2</v>
      </c>
      <c r="S36" s="5">
        <f t="shared" si="3"/>
        <v>8.5990000000000011E-2</v>
      </c>
      <c r="T36" s="5" t="str">
        <f ca="1">IFERROR(_xludf.STDEV.S(P36:R36)/AVERAGE(P36:R36)*100,"")</f>
        <v/>
      </c>
      <c r="U36" s="5">
        <v>2.2728100000000002</v>
      </c>
      <c r="V36" s="5">
        <v>2.3117399999999999</v>
      </c>
      <c r="W36" s="5">
        <v>2.1648499999999999</v>
      </c>
      <c r="X36" s="5">
        <f t="shared" si="4"/>
        <v>2.2498</v>
      </c>
      <c r="Y36" s="5" t="str">
        <f ca="1">IFERROR(_xludf.STDEV.S(U36:W36)/AVERAGE(U36:W36)*100,"")</f>
        <v/>
      </c>
      <c r="Z36" s="5">
        <v>6.0077999999999996</v>
      </c>
      <c r="AA36" s="5">
        <v>5.8521200000000002</v>
      </c>
      <c r="AB36" s="5">
        <v>6.3695899999999996</v>
      </c>
      <c r="AC36" s="5">
        <f t="shared" si="5"/>
        <v>6.0765033333333323</v>
      </c>
      <c r="AD36" s="5" t="str">
        <f ca="1">IFERROR(_xludf.STDEV.S(Z36:AB36)/AVERAGE(Z36:AB36)*100,"")</f>
        <v/>
      </c>
      <c r="AE36" s="5">
        <v>3.6107300000000002</v>
      </c>
      <c r="AF36" s="5">
        <v>3.8694799999999998</v>
      </c>
      <c r="AG36" s="5">
        <v>3.7803800000000001</v>
      </c>
      <c r="AH36" s="5">
        <f t="shared" si="6"/>
        <v>3.75353</v>
      </c>
      <c r="AI36" s="5" t="str">
        <f ca="1">IFERROR(_xludf.STDEV.S(AE36:AG36)/AVERAGE(AE36:AG36)*100,"")</f>
        <v/>
      </c>
      <c r="AJ36" s="5">
        <v>1.81412</v>
      </c>
      <c r="AK36" s="5">
        <v>1.7959499999999999</v>
      </c>
      <c r="AL36" s="5">
        <v>1.639</v>
      </c>
      <c r="AM36" s="5">
        <f t="shared" si="7"/>
        <v>1.74969</v>
      </c>
      <c r="AN36" s="5" t="str">
        <f ca="1">IFERROR(_xludf.STDEV.S(AJ36:AL36)/AVERAGE(AJ36:AL36)*100,"")</f>
        <v/>
      </c>
    </row>
    <row r="37" spans="1:40">
      <c r="A37" s="4" t="s">
        <v>59</v>
      </c>
      <c r="B37" s="4" t="s">
        <v>42</v>
      </c>
      <c r="C37" s="5">
        <v>1255.6754149999999</v>
      </c>
      <c r="D37" s="5">
        <v>1393.048798</v>
      </c>
      <c r="E37" s="5">
        <v>1179.624039</v>
      </c>
      <c r="F37" s="5">
        <f t="shared" si="0"/>
        <v>1276.116084</v>
      </c>
      <c r="G37" s="5" t="str">
        <f ca="1">IFERROR(_xludf.STDEV.S(C37:E37)/AVERAGE(C37:E37)*100,"")</f>
        <v/>
      </c>
      <c r="H37" s="5" t="str">
        <f t="shared" si="1"/>
        <v>MDV-positive</v>
      </c>
      <c r="I37" s="5">
        <f>INDEX(Bird_Summary!$D$2:$D$24,MATCH(A37,Bird_Summary!$A$2:$A$24,0))</f>
        <v>2163.5260798302011</v>
      </c>
      <c r="J37" s="5" t="str">
        <f>INDEX(Bird_Summary!$F$2:$F$24,MATCH(A37,Bird_Summary!$A$2:$A$24,0))</f>
        <v>Lower</v>
      </c>
      <c r="K37" s="5">
        <v>0.83267999999999998</v>
      </c>
      <c r="L37" s="5">
        <v>0.89385999999999999</v>
      </c>
      <c r="M37" s="5">
        <v>0.92810000000000004</v>
      </c>
      <c r="N37" s="5">
        <f t="shared" si="2"/>
        <v>0.88488</v>
      </c>
      <c r="O37" s="5" t="str">
        <f ca="1">IFERROR(_xludf.STDEV.S(K37:M37)/AVERAGE(K37:M37)*100,"")</f>
        <v/>
      </c>
      <c r="P37" s="5">
        <v>0.14657000000000001</v>
      </c>
      <c r="Q37" s="5">
        <v>0.15090999999999999</v>
      </c>
      <c r="R37" s="5">
        <v>0.16156000000000001</v>
      </c>
      <c r="S37" s="5">
        <f t="shared" si="3"/>
        <v>0.15301333333333333</v>
      </c>
      <c r="T37" s="5" t="str">
        <f ca="1">IFERROR(_xludf.STDEV.S(P37:R37)/AVERAGE(P37:R37)*100,"")</f>
        <v/>
      </c>
      <c r="U37" s="5">
        <v>1.6154200000000001</v>
      </c>
      <c r="V37" s="5">
        <v>1.47428</v>
      </c>
      <c r="W37" s="5">
        <v>1.67222</v>
      </c>
      <c r="X37" s="5">
        <f t="shared" si="4"/>
        <v>1.5873066666666666</v>
      </c>
      <c r="Y37" s="5" t="str">
        <f ca="1">IFERROR(_xludf.STDEV.S(U37:W37)/AVERAGE(U37:W37)*100,"")</f>
        <v/>
      </c>
      <c r="Z37" s="5">
        <v>3.44197</v>
      </c>
      <c r="AA37" s="5">
        <v>3.3498800000000002</v>
      </c>
      <c r="AB37" s="5">
        <v>3.7556400000000001</v>
      </c>
      <c r="AC37" s="5">
        <f t="shared" si="5"/>
        <v>3.5158299999999998</v>
      </c>
      <c r="AD37" s="5" t="str">
        <f ca="1">IFERROR(_xludf.STDEV.S(Z37:AB37)/AVERAGE(Z37:AB37)*100,"")</f>
        <v/>
      </c>
      <c r="AE37" s="5">
        <v>4.8130600000000001</v>
      </c>
      <c r="AF37" s="5">
        <v>4.9302999999999999</v>
      </c>
      <c r="AG37" s="5">
        <v>4.3940200000000003</v>
      </c>
      <c r="AH37" s="5">
        <f t="shared" si="6"/>
        <v>4.7124600000000001</v>
      </c>
      <c r="AI37" s="5" t="str">
        <f ca="1">IFERROR(_xludf.STDEV.S(AE37:AG37)/AVERAGE(AE37:AG37)*100,"")</f>
        <v/>
      </c>
      <c r="AJ37" s="5">
        <v>0.33495999999999998</v>
      </c>
      <c r="AK37" s="5">
        <v>0.36734</v>
      </c>
      <c r="AL37" s="5">
        <v>0.33743000000000001</v>
      </c>
      <c r="AM37" s="5">
        <f t="shared" si="7"/>
        <v>0.3465766666666667</v>
      </c>
      <c r="AN37" s="5" t="str">
        <f ca="1">IFERROR(_xludf.STDEV.S(AJ37:AL37)/AVERAGE(AJ37:AL37)*100,"")</f>
        <v/>
      </c>
    </row>
    <row r="38" spans="1:40">
      <c r="A38" s="4" t="s">
        <v>60</v>
      </c>
      <c r="B38" s="4" t="s">
        <v>41</v>
      </c>
      <c r="C38" s="5">
        <v>0</v>
      </c>
      <c r="D38" s="5">
        <v>0</v>
      </c>
      <c r="E38" s="5">
        <v>0</v>
      </c>
      <c r="F38" s="5">
        <f t="shared" si="0"/>
        <v>0</v>
      </c>
      <c r="G38" s="5" t="str">
        <f ca="1">IFERROR(_xludf.STDEV.S(C38:E38)/AVERAGE(C38:E38)*100,"")</f>
        <v/>
      </c>
      <c r="H38" s="5" t="str">
        <f t="shared" si="1"/>
        <v>Control/ND</v>
      </c>
      <c r="I38" s="5" t="str">
        <f>INDEX(Bird_Summary!$D$2:$D$24,MATCH(A38,Bird_Summary!$A$2:$A$24,0))</f>
        <v/>
      </c>
      <c r="J38" s="5" t="str">
        <f>INDEX(Bird_Summary!$F$2:$F$24,MATCH(A38,Bird_Summary!$A$2:$A$24,0))</f>
        <v>Control</v>
      </c>
      <c r="K38" s="5">
        <v>0.87836999999999998</v>
      </c>
      <c r="L38" s="5">
        <v>0.83374000000000004</v>
      </c>
      <c r="M38" s="5">
        <v>0.89751999999999998</v>
      </c>
      <c r="N38" s="5">
        <f t="shared" si="2"/>
        <v>0.86987666666666674</v>
      </c>
      <c r="O38" s="5" t="str">
        <f ca="1">IFERROR(_xludf.STDEV.S(K38:M38)/AVERAGE(K38:M38)*100,"")</f>
        <v/>
      </c>
      <c r="P38" s="5">
        <v>8.4640000000000007E-2</v>
      </c>
      <c r="Q38" s="5">
        <v>8.7179999999999994E-2</v>
      </c>
      <c r="R38" s="5">
        <v>9.0889999999999999E-2</v>
      </c>
      <c r="S38" s="5">
        <f t="shared" si="3"/>
        <v>8.7569999999999995E-2</v>
      </c>
      <c r="T38" s="5" t="str">
        <f ca="1">IFERROR(_xludf.STDEV.S(P38:R38)/AVERAGE(P38:R38)*100,"")</f>
        <v/>
      </c>
      <c r="U38" s="5">
        <v>0.27807999999999999</v>
      </c>
      <c r="V38" s="5">
        <v>0.30878</v>
      </c>
      <c r="W38" s="5">
        <v>0.30048000000000002</v>
      </c>
      <c r="X38" s="5">
        <f t="shared" si="4"/>
        <v>0.29577999999999999</v>
      </c>
      <c r="Y38" s="5" t="str">
        <f ca="1">IFERROR(_xludf.STDEV.S(U38:W38)/AVERAGE(U38:W38)*100,"")</f>
        <v/>
      </c>
      <c r="Z38" s="5">
        <v>0.66605999999999999</v>
      </c>
      <c r="AA38" s="5">
        <v>0.73512999999999995</v>
      </c>
      <c r="AB38" s="5">
        <v>0.71714</v>
      </c>
      <c r="AC38" s="5">
        <f t="shared" si="5"/>
        <v>0.7061099999999999</v>
      </c>
      <c r="AD38" s="5" t="str">
        <f ca="1">IFERROR(_xludf.STDEV.S(Z38:AB38)/AVERAGE(Z38:AB38)*100,"")</f>
        <v/>
      </c>
      <c r="AE38" s="5">
        <v>0.75460000000000005</v>
      </c>
      <c r="AF38" s="5">
        <v>0.76424999999999998</v>
      </c>
      <c r="AG38" s="5">
        <v>0.81542000000000003</v>
      </c>
      <c r="AH38" s="5">
        <f t="shared" si="6"/>
        <v>0.77809000000000006</v>
      </c>
      <c r="AI38" s="5" t="str">
        <f ca="1">IFERROR(_xludf.STDEV.S(AE38:AG38)/AVERAGE(AE38:AG38)*100,"")</f>
        <v/>
      </c>
      <c r="AJ38" s="5">
        <v>6.132E-2</v>
      </c>
      <c r="AK38" s="5">
        <v>6.3829999999999998E-2</v>
      </c>
      <c r="AL38" s="5">
        <v>5.7790000000000001E-2</v>
      </c>
      <c r="AM38" s="5">
        <f t="shared" si="7"/>
        <v>6.0979999999999999E-2</v>
      </c>
      <c r="AN38" s="5" t="str">
        <f ca="1">IFERROR(_xludf.STDEV.S(AJ38:AL38)/AVERAGE(AJ38:AL38)*100,"")</f>
        <v/>
      </c>
    </row>
    <row r="39" spans="1:40">
      <c r="A39" s="4" t="s">
        <v>60</v>
      </c>
      <c r="B39" s="4" t="s">
        <v>42</v>
      </c>
      <c r="C39" s="5">
        <v>0</v>
      </c>
      <c r="D39" s="5">
        <v>0</v>
      </c>
      <c r="E39" s="5">
        <v>0</v>
      </c>
      <c r="F39" s="5">
        <f t="shared" si="0"/>
        <v>0</v>
      </c>
      <c r="G39" s="5" t="str">
        <f ca="1">IFERROR(_xludf.STDEV.S(C39:E39)/AVERAGE(C39:E39)*100,"")</f>
        <v/>
      </c>
      <c r="H39" s="5" t="str">
        <f t="shared" si="1"/>
        <v>Control/ND</v>
      </c>
      <c r="I39" s="5" t="str">
        <f>INDEX(Bird_Summary!$D$2:$D$24,MATCH(A39,Bird_Summary!$A$2:$A$24,0))</f>
        <v/>
      </c>
      <c r="J39" s="5" t="str">
        <f>INDEX(Bird_Summary!$F$2:$F$24,MATCH(A39,Bird_Summary!$A$2:$A$24,0))</f>
        <v>Control</v>
      </c>
      <c r="K39" s="5">
        <v>1.20482</v>
      </c>
      <c r="L39" s="5">
        <v>1.2229300000000001</v>
      </c>
      <c r="M39" s="5">
        <v>1.28277</v>
      </c>
      <c r="N39" s="5">
        <f t="shared" si="2"/>
        <v>1.2368399999999999</v>
      </c>
      <c r="O39" s="5" t="str">
        <f ca="1">IFERROR(_xludf.STDEV.S(K39:M39)/AVERAGE(K39:M39)*100,"")</f>
        <v/>
      </c>
      <c r="P39" s="5">
        <v>0.15215999999999999</v>
      </c>
      <c r="Q39" s="5">
        <v>0.14507999999999999</v>
      </c>
      <c r="R39" s="5">
        <v>0.15171000000000001</v>
      </c>
      <c r="S39" s="5">
        <f t="shared" si="3"/>
        <v>0.14964999999999998</v>
      </c>
      <c r="T39" s="5" t="str">
        <f ca="1">IFERROR(_xludf.STDEV.S(P39:R39)/AVERAGE(P39:R39)*100,"")</f>
        <v/>
      </c>
      <c r="U39" s="5">
        <v>0.31696000000000002</v>
      </c>
      <c r="V39" s="5">
        <v>0.32967000000000002</v>
      </c>
      <c r="W39" s="5">
        <v>0.29315000000000002</v>
      </c>
      <c r="X39" s="5">
        <f t="shared" si="4"/>
        <v>0.31326000000000004</v>
      </c>
      <c r="Y39" s="5" t="str">
        <f ca="1">IFERROR(_xludf.STDEV.S(U39:W39)/AVERAGE(U39:W39)*100,"")</f>
        <v/>
      </c>
      <c r="Z39" s="5">
        <v>1.31942</v>
      </c>
      <c r="AA39" s="5">
        <v>1.2116899999999999</v>
      </c>
      <c r="AB39" s="5">
        <v>1.22505</v>
      </c>
      <c r="AC39" s="5">
        <f t="shared" si="5"/>
        <v>1.2520533333333332</v>
      </c>
      <c r="AD39" s="5" t="str">
        <f ca="1">IFERROR(_xludf.STDEV.S(Z39:AB39)/AVERAGE(Z39:AB39)*100,"")</f>
        <v/>
      </c>
      <c r="AE39" s="5">
        <v>1.03809</v>
      </c>
      <c r="AF39" s="5">
        <v>1.11313</v>
      </c>
      <c r="AG39" s="5">
        <v>1.0301899999999999</v>
      </c>
      <c r="AH39" s="5">
        <f t="shared" si="6"/>
        <v>1.0604699999999998</v>
      </c>
      <c r="AI39" s="5" t="str">
        <f ca="1">IFERROR(_xludf.STDEV.S(AE39:AG39)/AVERAGE(AE39:AG39)*100,"")</f>
        <v/>
      </c>
      <c r="AJ39" s="5">
        <v>0.24537999999999999</v>
      </c>
      <c r="AK39" s="5">
        <v>0.23333999999999999</v>
      </c>
      <c r="AL39" s="5">
        <v>0.22208</v>
      </c>
      <c r="AM39" s="5">
        <f t="shared" si="7"/>
        <v>0.2336</v>
      </c>
      <c r="AN39" s="5" t="str">
        <f ca="1">IFERROR(_xludf.STDEV.S(AJ39:AL39)/AVERAGE(AJ39:AL39)*100,"")</f>
        <v/>
      </c>
    </row>
    <row r="40" spans="1:40">
      <c r="A40" s="4" t="s">
        <v>61</v>
      </c>
      <c r="B40" s="4" t="s">
        <v>41</v>
      </c>
      <c r="C40" s="5">
        <v>0</v>
      </c>
      <c r="D40" s="5">
        <v>0</v>
      </c>
      <c r="E40" s="5">
        <v>0</v>
      </c>
      <c r="F40" s="5">
        <f t="shared" si="0"/>
        <v>0</v>
      </c>
      <c r="G40" s="5" t="str">
        <f ca="1">IFERROR(_xludf.STDEV.S(C40:E40)/AVERAGE(C40:E40)*100,"")</f>
        <v/>
      </c>
      <c r="H40" s="5" t="str">
        <f t="shared" si="1"/>
        <v>Control/ND</v>
      </c>
      <c r="I40" s="5" t="str">
        <f>INDEX(Bird_Summary!$D$2:$D$24,MATCH(A40,Bird_Summary!$A$2:$A$24,0))</f>
        <v/>
      </c>
      <c r="J40" s="5" t="str">
        <f>INDEX(Bird_Summary!$F$2:$F$24,MATCH(A40,Bird_Summary!$A$2:$A$24,0))</f>
        <v>Control</v>
      </c>
      <c r="K40" s="5">
        <v>0.87373000000000001</v>
      </c>
      <c r="L40" s="5">
        <v>0.83706999999999998</v>
      </c>
      <c r="M40" s="5">
        <v>0.90351999999999999</v>
      </c>
      <c r="N40" s="5">
        <f t="shared" si="2"/>
        <v>0.87143999999999988</v>
      </c>
      <c r="O40" s="5" t="str">
        <f ca="1">IFERROR(_xludf.STDEV.S(K40:M40)/AVERAGE(K40:M40)*100,"")</f>
        <v/>
      </c>
      <c r="P40" s="5">
        <v>0.13553999999999999</v>
      </c>
      <c r="Q40" s="5">
        <v>0.1431</v>
      </c>
      <c r="R40" s="5">
        <v>0.12572</v>
      </c>
      <c r="S40" s="5">
        <f t="shared" si="3"/>
        <v>0.13478666666666667</v>
      </c>
      <c r="T40" s="5" t="str">
        <f ca="1">IFERROR(_xludf.STDEV.S(P40:R40)/AVERAGE(P40:R40)*100,"")</f>
        <v/>
      </c>
      <c r="U40" s="5">
        <v>0.54373000000000005</v>
      </c>
      <c r="V40" s="5">
        <v>0.52822999999999998</v>
      </c>
      <c r="W40" s="5">
        <v>0.50954999999999995</v>
      </c>
      <c r="X40" s="5">
        <f t="shared" si="4"/>
        <v>0.52717000000000003</v>
      </c>
      <c r="Y40" s="5" t="str">
        <f ca="1">IFERROR(_xludf.STDEV.S(U40:W40)/AVERAGE(U40:W40)*100,"")</f>
        <v/>
      </c>
      <c r="Z40" s="5">
        <v>0.76656000000000002</v>
      </c>
      <c r="AA40" s="5">
        <v>0.73019999999999996</v>
      </c>
      <c r="AB40" s="5">
        <v>0.75904000000000005</v>
      </c>
      <c r="AC40" s="5">
        <f t="shared" si="5"/>
        <v>0.75193333333333345</v>
      </c>
      <c r="AD40" s="5" t="str">
        <f ca="1">IFERROR(_xludf.STDEV.S(Z40:AB40)/AVERAGE(Z40:AB40)*100,"")</f>
        <v/>
      </c>
      <c r="AE40" s="5">
        <v>0.16793</v>
      </c>
      <c r="AF40" s="5">
        <v>0.16575000000000001</v>
      </c>
      <c r="AG40" s="5">
        <v>0.18212999999999999</v>
      </c>
      <c r="AH40" s="5">
        <f t="shared" si="6"/>
        <v>0.17193666666666665</v>
      </c>
      <c r="AI40" s="5" t="str">
        <f ca="1">IFERROR(_xludf.STDEV.S(AE40:AG40)/AVERAGE(AE40:AG40)*100,"")</f>
        <v/>
      </c>
      <c r="AJ40" s="5">
        <v>6.3270000000000007E-2</v>
      </c>
      <c r="AK40" s="5">
        <v>5.8590000000000003E-2</v>
      </c>
      <c r="AL40" s="5">
        <v>6.6199999999999995E-2</v>
      </c>
      <c r="AM40" s="5">
        <f t="shared" si="7"/>
        <v>6.2686666666666668E-2</v>
      </c>
      <c r="AN40" s="5" t="str">
        <f ca="1">IFERROR(_xludf.STDEV.S(AJ40:AL40)/AVERAGE(AJ40:AL40)*100,"")</f>
        <v/>
      </c>
    </row>
    <row r="41" spans="1:40">
      <c r="A41" s="4" t="s">
        <v>61</v>
      </c>
      <c r="B41" s="4" t="s">
        <v>42</v>
      </c>
      <c r="C41" s="5">
        <v>0</v>
      </c>
      <c r="D41" s="5">
        <v>0</v>
      </c>
      <c r="E41" s="5">
        <v>0</v>
      </c>
      <c r="F41" s="5">
        <f t="shared" si="0"/>
        <v>0</v>
      </c>
      <c r="G41" s="5" t="str">
        <f ca="1">IFERROR(_xludf.STDEV.S(C41:E41)/AVERAGE(C41:E41)*100,"")</f>
        <v/>
      </c>
      <c r="H41" s="5" t="str">
        <f t="shared" si="1"/>
        <v>Control/ND</v>
      </c>
      <c r="I41" s="5" t="str">
        <f>INDEX(Bird_Summary!$D$2:$D$24,MATCH(A41,Bird_Summary!$A$2:$A$24,0))</f>
        <v/>
      </c>
      <c r="J41" s="5" t="str">
        <f>INDEX(Bird_Summary!$F$2:$F$24,MATCH(A41,Bird_Summary!$A$2:$A$24,0))</f>
        <v>Control</v>
      </c>
      <c r="K41" s="5">
        <v>1.4611099999999999</v>
      </c>
      <c r="L41" s="5">
        <v>1.2861800000000001</v>
      </c>
      <c r="M41" s="5">
        <v>1.34843</v>
      </c>
      <c r="N41" s="5">
        <f t="shared" si="2"/>
        <v>1.36524</v>
      </c>
      <c r="O41" s="5" t="str">
        <f ca="1">IFERROR(_xludf.STDEV.S(K41:M41)/AVERAGE(K41:M41)*100,"")</f>
        <v/>
      </c>
      <c r="P41" s="5">
        <v>0.17429</v>
      </c>
      <c r="Q41" s="5">
        <v>0.17954999999999999</v>
      </c>
      <c r="R41" s="5">
        <v>0.18895000000000001</v>
      </c>
      <c r="S41" s="5">
        <f t="shared" si="3"/>
        <v>0.18093000000000001</v>
      </c>
      <c r="T41" s="5" t="str">
        <f ca="1">IFERROR(_xludf.STDEV.S(P41:R41)/AVERAGE(P41:R41)*100,"")</f>
        <v/>
      </c>
      <c r="U41" s="5">
        <v>0.23765</v>
      </c>
      <c r="V41" s="5">
        <v>0.25059999999999999</v>
      </c>
      <c r="W41" s="5">
        <v>0.24285000000000001</v>
      </c>
      <c r="X41" s="5">
        <f t="shared" si="4"/>
        <v>0.2437</v>
      </c>
      <c r="Y41" s="5" t="str">
        <f ca="1">IFERROR(_xludf.STDEV.S(U41:W41)/AVERAGE(U41:W41)*100,"")</f>
        <v/>
      </c>
      <c r="Z41" s="5">
        <v>1.3632299999999999</v>
      </c>
      <c r="AA41" s="5">
        <v>1.4580599999999999</v>
      </c>
      <c r="AB41" s="5">
        <v>1.4256</v>
      </c>
      <c r="AC41" s="5">
        <f t="shared" si="5"/>
        <v>1.4156299999999999</v>
      </c>
      <c r="AD41" s="5" t="str">
        <f ca="1">IFERROR(_xludf.STDEV.S(Z41:AB41)/AVERAGE(Z41:AB41)*100,"")</f>
        <v/>
      </c>
      <c r="AE41" s="5">
        <v>0.87146999999999997</v>
      </c>
      <c r="AF41" s="5">
        <v>0.77971000000000001</v>
      </c>
      <c r="AG41" s="5">
        <v>0.79446000000000006</v>
      </c>
      <c r="AH41" s="5">
        <f t="shared" si="6"/>
        <v>0.81521333333333335</v>
      </c>
      <c r="AI41" s="5" t="str">
        <f ca="1">IFERROR(_xludf.STDEV.S(AE41:AG41)/AVERAGE(AE41:AG41)*100,"")</f>
        <v/>
      </c>
      <c r="AJ41" s="5">
        <v>0.24721000000000001</v>
      </c>
      <c r="AK41" s="5">
        <v>0.23274</v>
      </c>
      <c r="AL41" s="5">
        <v>0.22364000000000001</v>
      </c>
      <c r="AM41" s="5">
        <f t="shared" si="7"/>
        <v>0.23452999999999999</v>
      </c>
      <c r="AN41" s="5" t="str">
        <f ca="1">IFERROR(_xludf.STDEV.S(AJ41:AL41)/AVERAGE(AJ41:AL41)*100,"")</f>
        <v/>
      </c>
    </row>
    <row r="42" spans="1:40">
      <c r="A42" s="4" t="s">
        <v>62</v>
      </c>
      <c r="B42" s="4" t="s">
        <v>41</v>
      </c>
      <c r="C42" s="5">
        <v>0</v>
      </c>
      <c r="D42" s="5">
        <v>0</v>
      </c>
      <c r="E42" s="5">
        <v>0</v>
      </c>
      <c r="F42" s="5">
        <f t="shared" si="0"/>
        <v>0</v>
      </c>
      <c r="G42" s="5" t="str">
        <f ca="1">IFERROR(_xludf.STDEV.S(C42:E42)/AVERAGE(C42:E42)*100,"")</f>
        <v/>
      </c>
      <c r="H42" s="5" t="str">
        <f t="shared" si="1"/>
        <v>Control/ND</v>
      </c>
      <c r="I42" s="5" t="str">
        <f>INDEX(Bird_Summary!$D$2:$D$24,MATCH(A42,Bird_Summary!$A$2:$A$24,0))</f>
        <v/>
      </c>
      <c r="J42" s="5" t="str">
        <f>INDEX(Bird_Summary!$F$2:$F$24,MATCH(A42,Bird_Summary!$A$2:$A$24,0))</f>
        <v>Control</v>
      </c>
      <c r="K42" s="5">
        <v>1.02437</v>
      </c>
      <c r="L42" s="5">
        <v>0.99107000000000001</v>
      </c>
      <c r="M42" s="5">
        <v>0.91330999999999996</v>
      </c>
      <c r="N42" s="5">
        <f t="shared" si="2"/>
        <v>0.97624999999999995</v>
      </c>
      <c r="O42" s="5" t="str">
        <f ca="1">IFERROR(_xludf.STDEV.S(K42:M42)/AVERAGE(K42:M42)*100,"")</f>
        <v/>
      </c>
      <c r="P42" s="5">
        <v>0.10968</v>
      </c>
      <c r="Q42" s="5">
        <v>0.11698</v>
      </c>
      <c r="R42" s="5">
        <v>0.10403</v>
      </c>
      <c r="S42" s="5">
        <f t="shared" si="3"/>
        <v>0.11022999999999999</v>
      </c>
      <c r="T42" s="5" t="str">
        <f ca="1">IFERROR(_xludf.STDEV.S(P42:R42)/AVERAGE(P42:R42)*100,"")</f>
        <v/>
      </c>
      <c r="U42" s="5">
        <v>0.27235999999999999</v>
      </c>
      <c r="V42" s="5">
        <v>0.29499999999999998</v>
      </c>
      <c r="W42" s="5">
        <v>0.29676000000000002</v>
      </c>
      <c r="X42" s="5">
        <f t="shared" si="4"/>
        <v>0.28804000000000002</v>
      </c>
      <c r="Y42" s="5" t="str">
        <f ca="1">IFERROR(_xludf.STDEV.S(U42:W42)/AVERAGE(U42:W42)*100,"")</f>
        <v/>
      </c>
      <c r="Z42" s="5">
        <v>0.74961999999999995</v>
      </c>
      <c r="AA42" s="5">
        <v>0.73738000000000004</v>
      </c>
      <c r="AB42" s="5">
        <v>0.67735000000000001</v>
      </c>
      <c r="AC42" s="5">
        <f t="shared" si="5"/>
        <v>0.72145000000000004</v>
      </c>
      <c r="AD42" s="5" t="str">
        <f ca="1">IFERROR(_xludf.STDEV.S(Z42:AB42)/AVERAGE(Z42:AB42)*100,"")</f>
        <v/>
      </c>
      <c r="AE42" s="5">
        <v>0.24359</v>
      </c>
      <c r="AF42" s="5">
        <v>0.24435999999999999</v>
      </c>
      <c r="AG42" s="5">
        <v>0.25703999999999999</v>
      </c>
      <c r="AH42" s="5">
        <f t="shared" si="6"/>
        <v>0.24833000000000002</v>
      </c>
      <c r="AI42" s="5" t="str">
        <f ca="1">IFERROR(_xludf.STDEV.S(AE42:AG42)/AVERAGE(AE42:AG42)*100,"")</f>
        <v/>
      </c>
      <c r="AJ42" s="5">
        <v>9.1800000000000007E-2</v>
      </c>
      <c r="AK42" s="5">
        <v>8.7139999999999995E-2</v>
      </c>
      <c r="AL42" s="5">
        <v>8.9649999999999994E-2</v>
      </c>
      <c r="AM42" s="5">
        <f t="shared" si="7"/>
        <v>8.9529999999999998E-2</v>
      </c>
      <c r="AN42" s="5" t="str">
        <f ca="1">IFERROR(_xludf.STDEV.S(AJ42:AL42)/AVERAGE(AJ42:AL42)*100,"")</f>
        <v/>
      </c>
    </row>
    <row r="43" spans="1:40">
      <c r="A43" s="4" t="s">
        <v>62</v>
      </c>
      <c r="B43" s="4" t="s">
        <v>42</v>
      </c>
      <c r="C43" s="5">
        <v>0</v>
      </c>
      <c r="D43" s="5">
        <v>0</v>
      </c>
      <c r="E43" s="5">
        <v>0</v>
      </c>
      <c r="F43" s="5">
        <f t="shared" si="0"/>
        <v>0</v>
      </c>
      <c r="G43" s="5" t="str">
        <f ca="1">IFERROR(_xludf.STDEV.S(C43:E43)/AVERAGE(C43:E43)*100,"")</f>
        <v/>
      </c>
      <c r="H43" s="5" t="str">
        <f t="shared" si="1"/>
        <v>Control/ND</v>
      </c>
      <c r="I43" s="5" t="str">
        <f>INDEX(Bird_Summary!$D$2:$D$24,MATCH(A43,Bird_Summary!$A$2:$A$24,0))</f>
        <v/>
      </c>
      <c r="J43" s="5" t="str">
        <f>INDEX(Bird_Summary!$F$2:$F$24,MATCH(A43,Bird_Summary!$A$2:$A$24,0))</f>
        <v>Control</v>
      </c>
      <c r="K43" s="5">
        <v>0.99322999999999995</v>
      </c>
      <c r="L43" s="5">
        <v>0.96158999999999994</v>
      </c>
      <c r="M43" s="5">
        <v>1.0402400000000001</v>
      </c>
      <c r="N43" s="5">
        <f t="shared" si="2"/>
        <v>0.9983533333333332</v>
      </c>
      <c r="O43" s="5" t="str">
        <f ca="1">IFERROR(_xludf.STDEV.S(K43:M43)/AVERAGE(K43:M43)*100,"")</f>
        <v/>
      </c>
      <c r="P43" s="5">
        <v>0.18089</v>
      </c>
      <c r="Q43" s="5">
        <v>0.19134999999999999</v>
      </c>
      <c r="R43" s="5">
        <v>0.19341</v>
      </c>
      <c r="S43" s="5">
        <f t="shared" si="3"/>
        <v>0.18855</v>
      </c>
      <c r="T43" s="5" t="str">
        <f ca="1">IFERROR(_xludf.STDEV.S(P43:R43)/AVERAGE(P43:R43)*100,"")</f>
        <v/>
      </c>
      <c r="U43" s="5">
        <v>0.32063999999999998</v>
      </c>
      <c r="V43" s="5">
        <v>0.32283000000000001</v>
      </c>
      <c r="W43" s="5">
        <v>0.28809000000000001</v>
      </c>
      <c r="X43" s="5">
        <f t="shared" si="4"/>
        <v>0.31051999999999996</v>
      </c>
      <c r="Y43" s="5" t="str">
        <f ca="1">IFERROR(_xludf.STDEV.S(U43:W43)/AVERAGE(U43:W43)*100,"")</f>
        <v/>
      </c>
      <c r="Z43" s="5">
        <v>0.79952999999999996</v>
      </c>
      <c r="AA43" s="5">
        <v>0.72099999999999997</v>
      </c>
      <c r="AB43" s="5">
        <v>0.78176000000000001</v>
      </c>
      <c r="AC43" s="5">
        <f t="shared" si="5"/>
        <v>0.76743000000000006</v>
      </c>
      <c r="AD43" s="5" t="str">
        <f ca="1">IFERROR(_xludf.STDEV.S(Z43:AB43)/AVERAGE(Z43:AB43)*100,"")</f>
        <v/>
      </c>
      <c r="AE43" s="5">
        <v>0.54925999999999997</v>
      </c>
      <c r="AF43" s="5">
        <v>0.55328999999999995</v>
      </c>
      <c r="AG43" s="5">
        <v>0.52791999999999994</v>
      </c>
      <c r="AH43" s="5">
        <f t="shared" si="6"/>
        <v>0.54348999999999992</v>
      </c>
      <c r="AI43" s="5" t="str">
        <f ca="1">IFERROR(_xludf.STDEV.S(AE43:AG43)/AVERAGE(AE43:AG43)*100,"")</f>
        <v/>
      </c>
      <c r="AJ43" s="5">
        <v>7.2569999999999996E-2</v>
      </c>
      <c r="AK43" s="5">
        <v>6.9790000000000005E-2</v>
      </c>
      <c r="AL43" s="5">
        <v>7.6880000000000004E-2</v>
      </c>
      <c r="AM43" s="5">
        <f t="shared" si="7"/>
        <v>7.3079999999999992E-2</v>
      </c>
      <c r="AN43" s="5" t="str">
        <f ca="1">IFERROR(_xludf.STDEV.S(AJ43:AL43)/AVERAGE(AJ43:AL43)*100,"")</f>
        <v/>
      </c>
    </row>
    <row r="44" spans="1:40">
      <c r="A44" s="4" t="s">
        <v>63</v>
      </c>
      <c r="B44" s="4" t="s">
        <v>41</v>
      </c>
      <c r="C44" s="5">
        <v>0</v>
      </c>
      <c r="D44" s="5">
        <v>0</v>
      </c>
      <c r="E44" s="5">
        <v>0</v>
      </c>
      <c r="F44" s="5">
        <f t="shared" si="0"/>
        <v>0</v>
      </c>
      <c r="G44" s="5" t="str">
        <f ca="1">IFERROR(_xludf.STDEV.S(C44:E44)/AVERAGE(C44:E44)*100,"")</f>
        <v/>
      </c>
      <c r="H44" s="5" t="str">
        <f t="shared" si="1"/>
        <v>Control/ND</v>
      </c>
      <c r="I44" s="5" t="str">
        <f>INDEX(Bird_Summary!$D$2:$D$24,MATCH(A44,Bird_Summary!$A$2:$A$24,0))</f>
        <v/>
      </c>
      <c r="J44" s="5" t="str">
        <f>INDEX(Bird_Summary!$F$2:$F$24,MATCH(A44,Bird_Summary!$A$2:$A$24,0))</f>
        <v>Control</v>
      </c>
      <c r="K44" s="5">
        <v>0.66715999999999998</v>
      </c>
      <c r="L44" s="5">
        <v>0.62599000000000005</v>
      </c>
      <c r="M44" s="5">
        <v>0.64905000000000002</v>
      </c>
      <c r="N44" s="5">
        <f t="shared" si="2"/>
        <v>0.64740000000000009</v>
      </c>
      <c r="O44" s="5" t="str">
        <f ca="1">IFERROR(_xludf.STDEV.S(K44:M44)/AVERAGE(K44:M44)*100,"")</f>
        <v/>
      </c>
      <c r="P44" s="5">
        <v>0.11814</v>
      </c>
      <c r="Q44" s="5">
        <v>0.11907</v>
      </c>
      <c r="R44" s="5">
        <v>0.11028</v>
      </c>
      <c r="S44" s="5">
        <f t="shared" si="3"/>
        <v>0.11582999999999999</v>
      </c>
      <c r="T44" s="5" t="str">
        <f ca="1">IFERROR(_xludf.STDEV.S(P44:R44)/AVERAGE(P44:R44)*100,"")</f>
        <v/>
      </c>
      <c r="U44" s="5">
        <v>0.30113000000000001</v>
      </c>
      <c r="V44" s="5">
        <v>0.28521999999999997</v>
      </c>
      <c r="W44" s="5">
        <v>0.31845000000000001</v>
      </c>
      <c r="X44" s="5">
        <f t="shared" si="4"/>
        <v>0.30159999999999998</v>
      </c>
      <c r="Y44" s="5" t="str">
        <f ca="1">IFERROR(_xludf.STDEV.S(U44:W44)/AVERAGE(U44:W44)*100,"")</f>
        <v/>
      </c>
      <c r="Z44" s="5">
        <v>1.0733200000000001</v>
      </c>
      <c r="AA44" s="5">
        <v>1.0000199999999999</v>
      </c>
      <c r="AB44" s="5">
        <v>0.98029999999999995</v>
      </c>
      <c r="AC44" s="5">
        <f t="shared" si="5"/>
        <v>1.0178799999999999</v>
      </c>
      <c r="AD44" s="5" t="str">
        <f ca="1">IFERROR(_xludf.STDEV.S(Z44:AB44)/AVERAGE(Z44:AB44)*100,"")</f>
        <v/>
      </c>
      <c r="AE44" s="5">
        <v>0.40146999999999999</v>
      </c>
      <c r="AF44" s="5">
        <v>0.44333</v>
      </c>
      <c r="AG44" s="5">
        <v>0.44649</v>
      </c>
      <c r="AH44" s="5">
        <f t="shared" si="6"/>
        <v>0.43043000000000003</v>
      </c>
      <c r="AI44" s="5" t="str">
        <f ca="1">IFERROR(_xludf.STDEV.S(AE44:AG44)/AVERAGE(AE44:AG44)*100,"")</f>
        <v/>
      </c>
      <c r="AJ44" s="5">
        <v>5.314E-2</v>
      </c>
      <c r="AK44" s="5">
        <v>5.3870000000000001E-2</v>
      </c>
      <c r="AL44" s="5">
        <v>5.067E-2</v>
      </c>
      <c r="AM44" s="5">
        <f t="shared" si="7"/>
        <v>5.2559999999999996E-2</v>
      </c>
      <c r="AN44" s="5" t="str">
        <f ca="1">IFERROR(_xludf.STDEV.S(AJ44:AL44)/AVERAGE(AJ44:AL44)*100,"")</f>
        <v/>
      </c>
    </row>
    <row r="45" spans="1:40">
      <c r="A45" s="4" t="s">
        <v>63</v>
      </c>
      <c r="B45" s="4" t="s">
        <v>42</v>
      </c>
      <c r="C45" s="5">
        <v>0</v>
      </c>
      <c r="D45" s="5">
        <v>0</v>
      </c>
      <c r="E45" s="5">
        <v>0</v>
      </c>
      <c r="F45" s="5">
        <f t="shared" si="0"/>
        <v>0</v>
      </c>
      <c r="G45" s="5" t="str">
        <f ca="1">IFERROR(_xludf.STDEV.S(C45:E45)/AVERAGE(C45:E45)*100,"")</f>
        <v/>
      </c>
      <c r="H45" s="5" t="str">
        <f t="shared" si="1"/>
        <v>Control/ND</v>
      </c>
      <c r="I45" s="5" t="str">
        <f>INDEX(Bird_Summary!$D$2:$D$24,MATCH(A45,Bird_Summary!$A$2:$A$24,0))</f>
        <v/>
      </c>
      <c r="J45" s="5" t="str">
        <f>INDEX(Bird_Summary!$F$2:$F$24,MATCH(A45,Bird_Summary!$A$2:$A$24,0))</f>
        <v>Control</v>
      </c>
      <c r="K45" s="5">
        <v>1.1122300000000001</v>
      </c>
      <c r="L45" s="5">
        <v>1.0752999999999999</v>
      </c>
      <c r="M45" s="5">
        <v>1.13496</v>
      </c>
      <c r="N45" s="5">
        <f t="shared" si="2"/>
        <v>1.1074966666666666</v>
      </c>
      <c r="O45" s="5" t="str">
        <f ca="1">IFERROR(_xludf.STDEV.S(K45:M45)/AVERAGE(K45:M45)*100,"")</f>
        <v/>
      </c>
      <c r="P45" s="5">
        <v>0.14802000000000001</v>
      </c>
      <c r="Q45" s="5">
        <v>0.13902</v>
      </c>
      <c r="R45" s="5">
        <v>0.15573000000000001</v>
      </c>
      <c r="S45" s="5">
        <f t="shared" si="3"/>
        <v>0.14759</v>
      </c>
      <c r="T45" s="5" t="str">
        <f ca="1">IFERROR(_xludf.STDEV.S(P45:R45)/AVERAGE(P45:R45)*100,"")</f>
        <v/>
      </c>
      <c r="U45" s="5">
        <v>0.23019000000000001</v>
      </c>
      <c r="V45" s="5">
        <v>0.20576</v>
      </c>
      <c r="W45" s="5">
        <v>0.22039</v>
      </c>
      <c r="X45" s="5">
        <f t="shared" si="4"/>
        <v>0.21878</v>
      </c>
      <c r="Y45" s="5" t="str">
        <f ca="1">IFERROR(_xludf.STDEV.S(U45:W45)/AVERAGE(U45:W45)*100,"")</f>
        <v/>
      </c>
      <c r="Z45" s="5">
        <v>0.93799999999999994</v>
      </c>
      <c r="AA45" s="5">
        <v>0.93503999999999998</v>
      </c>
      <c r="AB45" s="5">
        <v>0.87799000000000005</v>
      </c>
      <c r="AC45" s="5">
        <f t="shared" si="5"/>
        <v>0.91700999999999999</v>
      </c>
      <c r="AD45" s="5" t="str">
        <f ca="1">IFERROR(_xludf.STDEV.S(Z45:AB45)/AVERAGE(Z45:AB45)*100,"")</f>
        <v/>
      </c>
      <c r="AE45" s="5">
        <v>0.39077000000000001</v>
      </c>
      <c r="AF45" s="5">
        <v>0.41615999999999997</v>
      </c>
      <c r="AG45" s="5">
        <v>0.43386999999999998</v>
      </c>
      <c r="AH45" s="5">
        <f t="shared" si="6"/>
        <v>0.41359999999999997</v>
      </c>
      <c r="AI45" s="5" t="str">
        <f ca="1">IFERROR(_xludf.STDEV.S(AE45:AG45)/AVERAGE(AE45:AG45)*100,"")</f>
        <v/>
      </c>
      <c r="AJ45" s="5">
        <v>0.12035</v>
      </c>
      <c r="AK45" s="5">
        <v>0.12293</v>
      </c>
      <c r="AL45" s="5">
        <v>0.12709999999999999</v>
      </c>
      <c r="AM45" s="5">
        <f t="shared" si="7"/>
        <v>0.12346</v>
      </c>
      <c r="AN45" s="5" t="str">
        <f ca="1">IFERROR(_xludf.STDEV.S(AJ45:AL45)/AVERAGE(AJ45:AL45)*100,"")</f>
        <v/>
      </c>
    </row>
    <row r="46" spans="1:40">
      <c r="A46" s="4" t="s">
        <v>64</v>
      </c>
      <c r="B46" s="4" t="s">
        <v>41</v>
      </c>
      <c r="C46" s="5">
        <v>0</v>
      </c>
      <c r="D46" s="5">
        <v>0</v>
      </c>
      <c r="E46" s="5">
        <v>0</v>
      </c>
      <c r="F46" s="5">
        <f t="shared" si="0"/>
        <v>0</v>
      </c>
      <c r="G46" s="5" t="str">
        <f ca="1">IFERROR(_xludf.STDEV.S(C46:E46)/AVERAGE(C46:E46)*100,"")</f>
        <v/>
      </c>
      <c r="H46" s="5" t="str">
        <f t="shared" si="1"/>
        <v>Control/ND</v>
      </c>
      <c r="I46" s="5" t="str">
        <f>INDEX(Bird_Summary!$D$2:$D$24,MATCH(A46,Bird_Summary!$A$2:$A$24,0))</f>
        <v/>
      </c>
      <c r="J46" s="5" t="str">
        <f>INDEX(Bird_Summary!$F$2:$F$24,MATCH(A46,Bird_Summary!$A$2:$A$24,0))</f>
        <v>Control</v>
      </c>
      <c r="K46" s="5">
        <v>0.92676000000000003</v>
      </c>
      <c r="L46" s="5">
        <v>0.93464999999999998</v>
      </c>
      <c r="M46" s="5">
        <v>0.97860000000000003</v>
      </c>
      <c r="N46" s="5">
        <f t="shared" si="2"/>
        <v>0.94667000000000001</v>
      </c>
      <c r="O46" s="5" t="str">
        <f ca="1">IFERROR(_xludf.STDEV.S(K46:M46)/AVERAGE(K46:M46)*100,"")</f>
        <v/>
      </c>
      <c r="P46" s="5">
        <v>9.5089999999999994E-2</v>
      </c>
      <c r="Q46" s="5">
        <v>0.10156999999999999</v>
      </c>
      <c r="R46" s="5">
        <v>9.5449999999999993E-2</v>
      </c>
      <c r="S46" s="5">
        <f t="shared" si="3"/>
        <v>9.7369999999999998E-2</v>
      </c>
      <c r="T46" s="5" t="str">
        <f ca="1">IFERROR(_xludf.STDEV.S(P46:R46)/AVERAGE(P46:R46)*100,"")</f>
        <v/>
      </c>
      <c r="U46" s="5">
        <v>0.55467</v>
      </c>
      <c r="V46" s="5">
        <v>0.60694999999999999</v>
      </c>
      <c r="W46" s="5">
        <v>0.58804999999999996</v>
      </c>
      <c r="X46" s="5">
        <f t="shared" si="4"/>
        <v>0.58322333333333332</v>
      </c>
      <c r="Y46" s="5" t="str">
        <f ca="1">IFERROR(_xludf.STDEV.S(U46:W46)/AVERAGE(U46:W46)*100,"")</f>
        <v/>
      </c>
      <c r="Z46" s="5">
        <v>1.10171</v>
      </c>
      <c r="AA46" s="5">
        <v>1.12548</v>
      </c>
      <c r="AB46" s="5">
        <v>1.1870799999999999</v>
      </c>
      <c r="AC46" s="5">
        <f t="shared" si="5"/>
        <v>1.13809</v>
      </c>
      <c r="AD46" s="5" t="str">
        <f ca="1">IFERROR(_xludf.STDEV.S(Z46:AB46)/AVERAGE(Z46:AB46)*100,"")</f>
        <v/>
      </c>
      <c r="AE46" s="5">
        <v>0.18729999999999999</v>
      </c>
      <c r="AF46" s="5">
        <v>0.19309999999999999</v>
      </c>
      <c r="AG46" s="5">
        <v>0.18013999999999999</v>
      </c>
      <c r="AH46" s="5">
        <f t="shared" si="6"/>
        <v>0.18684666666666663</v>
      </c>
      <c r="AI46" s="5" t="str">
        <f ca="1">IFERROR(_xludf.STDEV.S(AE46:AG46)/AVERAGE(AE46:AG46)*100,"")</f>
        <v/>
      </c>
      <c r="AJ46" s="5">
        <v>4.4749999999999998E-2</v>
      </c>
      <c r="AK46" s="5">
        <v>4.7109999999999999E-2</v>
      </c>
      <c r="AL46" s="5">
        <v>4.1730000000000003E-2</v>
      </c>
      <c r="AM46" s="5">
        <f t="shared" si="7"/>
        <v>4.4529999999999993E-2</v>
      </c>
      <c r="AN46" s="5" t="str">
        <f ca="1">IFERROR(_xludf.STDEV.S(AJ46:AL46)/AVERAGE(AJ46:AL46)*100,"")</f>
        <v/>
      </c>
    </row>
    <row r="47" spans="1:40">
      <c r="A47" s="6" t="s">
        <v>64</v>
      </c>
      <c r="B47" s="6" t="s">
        <v>42</v>
      </c>
      <c r="C47" s="7">
        <v>0</v>
      </c>
      <c r="D47" s="7">
        <v>0</v>
      </c>
      <c r="E47" s="7">
        <v>0</v>
      </c>
      <c r="F47" s="7">
        <f t="shared" si="0"/>
        <v>0</v>
      </c>
      <c r="G47" s="7" t="str">
        <f ca="1">IFERROR(_xludf.STDEV.S(C47:E47)/AVERAGE(C47:E47)*100,"")</f>
        <v/>
      </c>
      <c r="H47" s="7" t="str">
        <f t="shared" si="1"/>
        <v>Control/ND</v>
      </c>
      <c r="I47" s="7" t="str">
        <f>INDEX(Bird_Summary!$D$2:$D$24,MATCH(A47,Bird_Summary!$A$2:$A$24,0))</f>
        <v/>
      </c>
      <c r="J47" s="7" t="str">
        <f>INDEX(Bird_Summary!$F$2:$F$24,MATCH(A47,Bird_Summary!$A$2:$A$24,0))</f>
        <v>Control</v>
      </c>
      <c r="K47" s="7">
        <v>1.6514800000000001</v>
      </c>
      <c r="L47" s="7">
        <v>1.75654</v>
      </c>
      <c r="M47" s="7">
        <v>1.6623699999999999</v>
      </c>
      <c r="N47" s="7">
        <f t="shared" si="2"/>
        <v>1.6901299999999999</v>
      </c>
      <c r="O47" s="7" t="str">
        <f ca="1">IFERROR(_xludf.STDEV.S(K47:M47)/AVERAGE(K47:M47)*100,"")</f>
        <v/>
      </c>
      <c r="P47" s="7">
        <v>0.16006999999999999</v>
      </c>
      <c r="Q47" s="7">
        <v>0.14915</v>
      </c>
      <c r="R47" s="7">
        <v>0.16950999999999999</v>
      </c>
      <c r="S47" s="7">
        <f t="shared" si="3"/>
        <v>0.15957666666666667</v>
      </c>
      <c r="T47" s="7" t="str">
        <f ca="1">IFERROR(_xludf.STDEV.S(P47:R47)/AVERAGE(P47:R47)*100,"")</f>
        <v/>
      </c>
      <c r="U47" s="7">
        <v>0.18493999999999999</v>
      </c>
      <c r="V47" s="7">
        <v>0.19996</v>
      </c>
      <c r="W47" s="7">
        <v>0.1812</v>
      </c>
      <c r="X47" s="7">
        <f t="shared" si="4"/>
        <v>0.18870000000000001</v>
      </c>
      <c r="Y47" s="7" t="str">
        <f ca="1">IFERROR(_xludf.STDEV.S(U47:W47)/AVERAGE(U47:W47)*100,"")</f>
        <v/>
      </c>
      <c r="Z47" s="7">
        <v>1.4856</v>
      </c>
      <c r="AA47" s="7">
        <v>1.34273</v>
      </c>
      <c r="AB47" s="7">
        <v>1.3222</v>
      </c>
      <c r="AC47" s="7">
        <f t="shared" si="5"/>
        <v>1.38351</v>
      </c>
      <c r="AD47" s="7" t="str">
        <f ca="1">IFERROR(_xludf.STDEV.S(Z47:AB47)/AVERAGE(Z47:AB47)*100,"")</f>
        <v/>
      </c>
      <c r="AE47" s="7">
        <v>0.67242000000000002</v>
      </c>
      <c r="AF47" s="7">
        <v>0.63153999999999999</v>
      </c>
      <c r="AG47" s="7">
        <v>0.65929000000000004</v>
      </c>
      <c r="AH47" s="7">
        <f t="shared" si="6"/>
        <v>0.65441666666666665</v>
      </c>
      <c r="AI47" s="7" t="str">
        <f ca="1">IFERROR(_xludf.STDEV.S(AE47:AG47)/AVERAGE(AE47:AG47)*100,"")</f>
        <v/>
      </c>
      <c r="AJ47" s="7">
        <v>6.8279999999999993E-2</v>
      </c>
      <c r="AK47" s="7">
        <v>7.1139999999999995E-2</v>
      </c>
      <c r="AL47" s="7">
        <v>6.3469999999999999E-2</v>
      </c>
      <c r="AM47" s="7">
        <f t="shared" si="7"/>
        <v>6.7629999999999996E-2</v>
      </c>
      <c r="AN47" s="7" t="str">
        <f ca="1">IFERROR(_xludf.STDEV.S(AJ47:AL47)/AVERAGE(AJ47:AL47)*100,"")</f>
        <v/>
      </c>
    </row>
  </sheetData>
  <conditionalFormatting sqref="G2:G47">
    <cfRule type="cellIs" dxfId="9" priority="1" operator="greaterThan">
      <formula>10</formula>
    </cfRule>
  </conditionalFormatting>
  <conditionalFormatting sqref="O2:O47">
    <cfRule type="cellIs" dxfId="8" priority="2" operator="greaterThan">
      <formula>10</formula>
    </cfRule>
  </conditionalFormatting>
  <conditionalFormatting sqref="T2:T47">
    <cfRule type="cellIs" dxfId="7" priority="3" operator="greaterThan">
      <formula>10</formula>
    </cfRule>
  </conditionalFormatting>
  <conditionalFormatting sqref="Y2:Y47">
    <cfRule type="cellIs" dxfId="6" priority="4" operator="greaterThan">
      <formula>10</formula>
    </cfRule>
  </conditionalFormatting>
  <conditionalFormatting sqref="AD2:AD47">
    <cfRule type="cellIs" dxfId="5" priority="5" operator="greaterThan">
      <formula>10</formula>
    </cfRule>
  </conditionalFormatting>
  <conditionalFormatting sqref="AI2:AI47">
    <cfRule type="cellIs" dxfId="4" priority="6" operator="greaterThan">
      <formula>10</formula>
    </cfRule>
  </conditionalFormatting>
  <conditionalFormatting sqref="AN2:AN47">
    <cfRule type="cellIs" dxfId="3" priority="7" operator="greaterThan"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workbookViewId="0">
      <selection activeCell="I17" sqref="I17"/>
    </sheetView>
  </sheetViews>
  <sheetFormatPr defaultRowHeight="13.8"/>
  <cols>
    <col min="1" max="1" width="14" customWidth="1"/>
    <col min="2" max="4" width="18" customWidth="1"/>
    <col min="5" max="6" width="15" customWidth="1"/>
    <col min="8" max="8" width="24" customWidth="1"/>
    <col min="9" max="9" width="28" customWidth="1"/>
  </cols>
  <sheetData>
    <row r="1" spans="1:9">
      <c r="A1" s="8" t="s">
        <v>0</v>
      </c>
      <c r="B1" s="8" t="s">
        <v>65</v>
      </c>
      <c r="C1" s="8" t="s">
        <v>66</v>
      </c>
      <c r="D1" s="8" t="s">
        <v>8</v>
      </c>
      <c r="E1" s="8" t="s">
        <v>7</v>
      </c>
      <c r="F1" s="8" t="s">
        <v>9</v>
      </c>
      <c r="H1" s="1" t="s">
        <v>67</v>
      </c>
      <c r="I1" s="1" t="s">
        <v>68</v>
      </c>
    </row>
    <row r="2" spans="1:9">
      <c r="A2" s="9" t="s">
        <v>40</v>
      </c>
      <c r="B2" s="5">
        <f>SUMIFS(Combined_Data!$F:$F,Combined_Data!$A:$A,A2,Combined_Data!$B:$B,"Liver")</f>
        <v>600.03949990000001</v>
      </c>
      <c r="C2" s="5">
        <f>SUMIFS(Combined_Data!$F:$F,Combined_Data!$A:$A,A2,Combined_Data!$B:$B,"Spleen")</f>
        <v>60.618428546666671</v>
      </c>
      <c r="D2" s="5">
        <f t="shared" ref="D2:D24" si="0">IF(AND(B2&gt;0,C2&gt;0),SQRT(B2*C2),"")</f>
        <v>190.71825174813699</v>
      </c>
      <c r="E2" s="9" t="str">
        <f t="shared" ref="E2:E24" si="1">IF(D2&lt;&gt;"","MDV-positive","Control/ND")</f>
        <v>MDV-positive</v>
      </c>
      <c r="F2" s="9" t="str">
        <f t="shared" ref="F2:F24" si="2">IF(E2&lt;&gt;"MDV-positive","Control",IF(D2&lt;=$I$2,"Lower","Higher"))</f>
        <v>Lower</v>
      </c>
      <c r="H2" t="s">
        <v>69</v>
      </c>
      <c r="I2" s="2">
        <f>MEDIAN(D2:D19)</f>
        <v>2983.540286056108</v>
      </c>
    </row>
    <row r="3" spans="1:9">
      <c r="A3" s="9" t="s">
        <v>43</v>
      </c>
      <c r="B3" s="5">
        <f>SUMIFS(Combined_Data!$F:$F,Combined_Data!$A:$A,A3,Combined_Data!$B:$B,"Liver")</f>
        <v>50.500713346666664</v>
      </c>
      <c r="C3" s="5">
        <f>SUMIFS(Combined_Data!$F:$F,Combined_Data!$A:$A,A3,Combined_Data!$B:$B,"Spleen")</f>
        <v>166.13473510000003</v>
      </c>
      <c r="D3" s="5">
        <f t="shared" si="0"/>
        <v>91.596520863019151</v>
      </c>
      <c r="E3" s="9" t="str">
        <f t="shared" si="1"/>
        <v>MDV-positive</v>
      </c>
      <c r="F3" s="9" t="str">
        <f t="shared" si="2"/>
        <v>Lower</v>
      </c>
      <c r="H3" t="s">
        <v>70</v>
      </c>
      <c r="I3">
        <f>COUNT(D2:D24)</f>
        <v>18</v>
      </c>
    </row>
    <row r="4" spans="1:9">
      <c r="A4" s="9" t="s">
        <v>44</v>
      </c>
      <c r="B4" s="5">
        <f>SUMIFS(Combined_Data!$F:$F,Combined_Data!$A:$A,A4,Combined_Data!$B:$B,"Liver")</f>
        <v>1143.461202</v>
      </c>
      <c r="C4" s="5">
        <f>SUMIFS(Combined_Data!$F:$F,Combined_Data!$A:$A,A4,Combined_Data!$B:$B,"Spleen")</f>
        <v>237.86273700000001</v>
      </c>
      <c r="D4" s="5">
        <f t="shared" si="0"/>
        <v>521.52354804076663</v>
      </c>
      <c r="E4" s="9" t="str">
        <f t="shared" si="1"/>
        <v>MDV-positive</v>
      </c>
      <c r="F4" s="9" t="str">
        <f t="shared" si="2"/>
        <v>Lower</v>
      </c>
      <c r="H4" t="s">
        <v>71</v>
      </c>
      <c r="I4" t="s">
        <v>72</v>
      </c>
    </row>
    <row r="5" spans="1:9">
      <c r="A5" s="9" t="s">
        <v>45</v>
      </c>
      <c r="B5" s="5">
        <f>SUMIFS(Combined_Data!$F:$F,Combined_Data!$A:$A,A5,Combined_Data!$B:$B,"Liver")</f>
        <v>1819.6829426666666</v>
      </c>
      <c r="C5" s="5">
        <f>SUMIFS(Combined_Data!$F:$F,Combined_Data!$A:$A,A5,Combined_Data!$B:$B,"Spleen")</f>
        <v>22.791910490000003</v>
      </c>
      <c r="D5" s="5">
        <f t="shared" si="0"/>
        <v>203.65178798487989</v>
      </c>
      <c r="E5" s="9" t="str">
        <f t="shared" si="1"/>
        <v>MDV-positive</v>
      </c>
      <c r="F5" s="9" t="str">
        <f t="shared" si="2"/>
        <v>Lower</v>
      </c>
    </row>
    <row r="6" spans="1:9">
      <c r="A6" s="9" t="s">
        <v>46</v>
      </c>
      <c r="B6" s="5">
        <f>SUMIFS(Combined_Data!$F:$F,Combined_Data!$A:$A,A6,Combined_Data!$B:$B,"Liver")</f>
        <v>69379.639323333337</v>
      </c>
      <c r="C6" s="5">
        <f>SUMIFS(Combined_Data!$F:$F,Combined_Data!$A:$A,A6,Combined_Data!$B:$B,"Spleen")</f>
        <v>1888.352173</v>
      </c>
      <c r="D6" s="5">
        <f t="shared" si="0"/>
        <v>11446.099452572162</v>
      </c>
      <c r="E6" s="9" t="str">
        <f t="shared" si="1"/>
        <v>MDV-positive</v>
      </c>
      <c r="F6" s="9" t="str">
        <f t="shared" si="2"/>
        <v>Higher</v>
      </c>
    </row>
    <row r="7" spans="1:9">
      <c r="A7" s="9" t="s">
        <v>47</v>
      </c>
      <c r="B7" s="5">
        <f>SUMIFS(Combined_Data!$F:$F,Combined_Data!$A:$A,A7,Combined_Data!$B:$B,"Liver")</f>
        <v>456.54486083333336</v>
      </c>
      <c r="C7" s="5">
        <f>SUMIFS(Combined_Data!$F:$F,Combined_Data!$A:$A,A7,Combined_Data!$B:$B,"Spleen")</f>
        <v>5774.4111326666671</v>
      </c>
      <c r="D7" s="5">
        <f t="shared" si="0"/>
        <v>1623.6618265383202</v>
      </c>
      <c r="E7" s="9" t="str">
        <f t="shared" si="1"/>
        <v>MDV-positive</v>
      </c>
      <c r="F7" s="9" t="str">
        <f t="shared" si="2"/>
        <v>Lower</v>
      </c>
    </row>
    <row r="8" spans="1:9">
      <c r="A8" s="9" t="s">
        <v>48</v>
      </c>
      <c r="B8" s="5">
        <f>SUMIFS(Combined_Data!$F:$F,Combined_Data!$A:$A,A8,Combined_Data!$B:$B,"Liver")</f>
        <v>9972.8948560000008</v>
      </c>
      <c r="C8" s="5">
        <f>SUMIFS(Combined_Data!$F:$F,Combined_Data!$A:$A,A8,Combined_Data!$B:$B,"Spleen")</f>
        <v>1450.6346436666665</v>
      </c>
      <c r="D8" s="5">
        <f t="shared" si="0"/>
        <v>3803.5544922820145</v>
      </c>
      <c r="E8" s="9" t="str">
        <f t="shared" si="1"/>
        <v>MDV-positive</v>
      </c>
      <c r="F8" s="9" t="str">
        <f t="shared" si="2"/>
        <v>Higher</v>
      </c>
    </row>
    <row r="9" spans="1:9">
      <c r="A9" s="9" t="s">
        <v>49</v>
      </c>
      <c r="B9" s="5">
        <f>SUMIFS(Combined_Data!$F:$F,Combined_Data!$A:$A,A9,Combined_Data!$B:$B,"Liver")</f>
        <v>2216.7712403333335</v>
      </c>
      <c r="C9" s="5">
        <f>SUMIFS(Combined_Data!$F:$F,Combined_Data!$A:$A,A9,Combined_Data!$B:$B,"Spleen")</f>
        <v>124.02143350666667</v>
      </c>
      <c r="D9" s="5">
        <f t="shared" si="0"/>
        <v>524.33495685724745</v>
      </c>
      <c r="E9" s="9" t="str">
        <f t="shared" si="1"/>
        <v>MDV-positive</v>
      </c>
      <c r="F9" s="9" t="str">
        <f t="shared" si="2"/>
        <v>Lower</v>
      </c>
    </row>
    <row r="10" spans="1:9">
      <c r="A10" s="9" t="s">
        <v>50</v>
      </c>
      <c r="B10" s="5">
        <f>SUMIFS(Combined_Data!$F:$F,Combined_Data!$A:$A,A10,Combined_Data!$B:$B,"Liver")</f>
        <v>11143.350913333334</v>
      </c>
      <c r="C10" s="5">
        <f>SUMIFS(Combined_Data!$F:$F,Combined_Data!$A:$A,A10,Combined_Data!$B:$B,"Spleen")</f>
        <v>14985.220052333332</v>
      </c>
      <c r="D10" s="5">
        <f t="shared" si="0"/>
        <v>12922.289485871674</v>
      </c>
      <c r="E10" s="9" t="str">
        <f t="shared" si="1"/>
        <v>MDV-positive</v>
      </c>
      <c r="F10" s="9" t="str">
        <f t="shared" si="2"/>
        <v>Higher</v>
      </c>
    </row>
    <row r="11" spans="1:9">
      <c r="A11" s="9" t="s">
        <v>51</v>
      </c>
      <c r="B11" s="5">
        <f>SUMIFS(Combined_Data!$F:$F,Combined_Data!$A:$A,A11,Combined_Data!$B:$B,"Liver")</f>
        <v>86816.35937666666</v>
      </c>
      <c r="C11" s="5">
        <f>SUMIFS(Combined_Data!$F:$F,Combined_Data!$A:$A,A11,Combined_Data!$B:$B,"Spleen")</f>
        <v>14503.521483333332</v>
      </c>
      <c r="D11" s="5">
        <f t="shared" si="0"/>
        <v>35484.404085799048</v>
      </c>
      <c r="E11" s="9" t="str">
        <f t="shared" si="1"/>
        <v>MDV-positive</v>
      </c>
      <c r="F11" s="9" t="str">
        <f t="shared" si="2"/>
        <v>Higher</v>
      </c>
    </row>
    <row r="12" spans="1:9">
      <c r="A12" s="9" t="s">
        <v>52</v>
      </c>
      <c r="B12" s="5">
        <f>SUMIFS(Combined_Data!$F:$F,Combined_Data!$A:$A,A12,Combined_Data!$B:$B,"Liver")</f>
        <v>306.19281516666666</v>
      </c>
      <c r="C12" s="5">
        <f>SUMIFS(Combined_Data!$F:$F,Combined_Data!$A:$A,A12,Combined_Data!$B:$B,"Spleen")</f>
        <v>7601.2615556666669</v>
      </c>
      <c r="D12" s="5">
        <f t="shared" si="0"/>
        <v>1525.5987921297437</v>
      </c>
      <c r="E12" s="9" t="str">
        <f t="shared" si="1"/>
        <v>MDV-positive</v>
      </c>
      <c r="F12" s="9" t="str">
        <f t="shared" si="2"/>
        <v>Lower</v>
      </c>
    </row>
    <row r="13" spans="1:9">
      <c r="A13" s="9" t="s">
        <v>53</v>
      </c>
      <c r="B13" s="5">
        <f>SUMIFS(Combined_Data!$F:$F,Combined_Data!$A:$A,A13,Combined_Data!$B:$B,"Liver")</f>
        <v>6659.6710610000009</v>
      </c>
      <c r="C13" s="5">
        <f>SUMIFS(Combined_Data!$F:$F,Combined_Data!$A:$A,A13,Combined_Data!$B:$B,"Spleen")</f>
        <v>3344.3322543333329</v>
      </c>
      <c r="D13" s="5">
        <f t="shared" si="0"/>
        <v>4719.3381667933681</v>
      </c>
      <c r="E13" s="9" t="str">
        <f t="shared" si="1"/>
        <v>MDV-positive</v>
      </c>
      <c r="F13" s="9" t="str">
        <f t="shared" si="2"/>
        <v>Higher</v>
      </c>
    </row>
    <row r="14" spans="1:9">
      <c r="A14" s="9" t="s">
        <v>54</v>
      </c>
      <c r="B14" s="5">
        <f>SUMIFS(Combined_Data!$F:$F,Combined_Data!$A:$A,A14,Combined_Data!$B:$B,"Liver")</f>
        <v>7554.967936</v>
      </c>
      <c r="C14" s="5">
        <f>SUMIFS(Combined_Data!$F:$F,Combined_Data!$A:$A,A14,Combined_Data!$B:$B,"Spleen")</f>
        <v>6278.6564126666672</v>
      </c>
      <c r="D14" s="5">
        <f t="shared" si="0"/>
        <v>6887.3106419601445</v>
      </c>
      <c r="E14" s="9" t="str">
        <f t="shared" si="1"/>
        <v>MDV-positive</v>
      </c>
      <c r="F14" s="9" t="str">
        <f t="shared" si="2"/>
        <v>Higher</v>
      </c>
    </row>
    <row r="15" spans="1:9">
      <c r="A15" s="9" t="s">
        <v>55</v>
      </c>
      <c r="B15" s="5">
        <f>SUMIFS(Combined_Data!$F:$F,Combined_Data!$A:$A,A15,Combined_Data!$B:$B,"Liver")</f>
        <v>3654.2672526666665</v>
      </c>
      <c r="C15" s="5">
        <f>SUMIFS(Combined_Data!$F:$F,Combined_Data!$A:$A,A15,Combined_Data!$B:$B,"Spleen")</f>
        <v>1064.5245769666667</v>
      </c>
      <c r="D15" s="5">
        <f t="shared" si="0"/>
        <v>1972.3228187262162</v>
      </c>
      <c r="E15" s="9" t="str">
        <f t="shared" si="1"/>
        <v>MDV-positive</v>
      </c>
      <c r="F15" s="9" t="str">
        <f t="shared" si="2"/>
        <v>Lower</v>
      </c>
    </row>
    <row r="16" spans="1:9">
      <c r="A16" s="9" t="s">
        <v>56</v>
      </c>
      <c r="B16" s="5">
        <f>SUMIFS(Combined_Data!$F:$F,Combined_Data!$A:$A,A16,Combined_Data!$B:$B,"Liver")</f>
        <v>30504.283483333333</v>
      </c>
      <c r="C16" s="5">
        <f>SUMIFS(Combined_Data!$F:$F,Combined_Data!$A:$A,A16,Combined_Data!$B:$B,"Spleen")</f>
        <v>1010.6246973333333</v>
      </c>
      <c r="D16" s="5">
        <f t="shared" si="0"/>
        <v>5552.3312457664078</v>
      </c>
      <c r="E16" s="9" t="str">
        <f t="shared" si="1"/>
        <v>MDV-positive</v>
      </c>
      <c r="F16" s="9" t="str">
        <f t="shared" si="2"/>
        <v>Higher</v>
      </c>
    </row>
    <row r="17" spans="1:6">
      <c r="A17" s="9" t="s">
        <v>57</v>
      </c>
      <c r="B17" s="5">
        <f>SUMIFS(Combined_Data!$F:$F,Combined_Data!$A:$A,A17,Combined_Data!$B:$B,"Liver")</f>
        <v>1581.848714</v>
      </c>
      <c r="C17" s="5">
        <f>SUMIFS(Combined_Data!$F:$F,Combined_Data!$A:$A,A17,Combined_Data!$B:$B,"Spleen")</f>
        <v>13487.440754333335</v>
      </c>
      <c r="D17" s="5">
        <f t="shared" si="0"/>
        <v>4618.9924022879031</v>
      </c>
      <c r="E17" s="9" t="str">
        <f t="shared" si="1"/>
        <v>MDV-positive</v>
      </c>
      <c r="F17" s="9" t="str">
        <f t="shared" si="2"/>
        <v>Higher</v>
      </c>
    </row>
    <row r="18" spans="1:6">
      <c r="A18" s="9" t="s">
        <v>58</v>
      </c>
      <c r="B18" s="5">
        <f>SUMIFS(Combined_Data!$F:$F,Combined_Data!$A:$A,A18,Combined_Data!$B:$B,"Liver")</f>
        <v>20873.058593333335</v>
      </c>
      <c r="C18" s="5">
        <f>SUMIFS(Combined_Data!$F:$F,Combined_Data!$A:$A,A18,Combined_Data!$B:$B,"Spleen")</f>
        <v>51555.869630000001</v>
      </c>
      <c r="D18" s="5">
        <f t="shared" si="0"/>
        <v>32804.400430692906</v>
      </c>
      <c r="E18" s="9" t="str">
        <f t="shared" si="1"/>
        <v>MDV-positive</v>
      </c>
      <c r="F18" s="9" t="str">
        <f t="shared" si="2"/>
        <v>Higher</v>
      </c>
    </row>
    <row r="19" spans="1:6">
      <c r="A19" s="9" t="s">
        <v>59</v>
      </c>
      <c r="B19" s="5">
        <f>SUMIFS(Combined_Data!$F:$F,Combined_Data!$A:$A,A19,Combined_Data!$B:$B,"Liver")</f>
        <v>3668.0402016666667</v>
      </c>
      <c r="C19" s="5">
        <f>SUMIFS(Combined_Data!$F:$F,Combined_Data!$A:$A,A19,Combined_Data!$B:$B,"Spleen")</f>
        <v>1276.116084</v>
      </c>
      <c r="D19" s="5">
        <f t="shared" si="0"/>
        <v>2163.5260798302011</v>
      </c>
      <c r="E19" s="9" t="str">
        <f t="shared" si="1"/>
        <v>MDV-positive</v>
      </c>
      <c r="F19" s="9" t="str">
        <f t="shared" si="2"/>
        <v>Lower</v>
      </c>
    </row>
    <row r="20" spans="1:6">
      <c r="A20" s="9" t="s">
        <v>60</v>
      </c>
      <c r="B20" s="5">
        <f>SUMIFS(Combined_Data!$F:$F,Combined_Data!$A:$A,A20,Combined_Data!$B:$B,"Liver")</f>
        <v>0</v>
      </c>
      <c r="C20" s="5">
        <f>SUMIFS(Combined_Data!$F:$F,Combined_Data!$A:$A,A20,Combined_Data!$B:$B,"Spleen")</f>
        <v>0</v>
      </c>
      <c r="D20" s="5" t="str">
        <f t="shared" si="0"/>
        <v/>
      </c>
      <c r="E20" s="9" t="str">
        <f t="shared" si="1"/>
        <v>Control/ND</v>
      </c>
      <c r="F20" s="9" t="str">
        <f t="shared" si="2"/>
        <v>Control</v>
      </c>
    </row>
    <row r="21" spans="1:6">
      <c r="A21" s="9" t="s">
        <v>61</v>
      </c>
      <c r="B21" s="5">
        <f>SUMIFS(Combined_Data!$F:$F,Combined_Data!$A:$A,A21,Combined_Data!$B:$B,"Liver")</f>
        <v>0</v>
      </c>
      <c r="C21" s="5">
        <f>SUMIFS(Combined_Data!$F:$F,Combined_Data!$A:$A,A21,Combined_Data!$B:$B,"Spleen")</f>
        <v>0</v>
      </c>
      <c r="D21" s="5" t="str">
        <f t="shared" si="0"/>
        <v/>
      </c>
      <c r="E21" s="9" t="str">
        <f t="shared" si="1"/>
        <v>Control/ND</v>
      </c>
      <c r="F21" s="9" t="str">
        <f t="shared" si="2"/>
        <v>Control</v>
      </c>
    </row>
    <row r="22" spans="1:6">
      <c r="A22" s="9" t="s">
        <v>62</v>
      </c>
      <c r="B22" s="5">
        <f>SUMIFS(Combined_Data!$F:$F,Combined_Data!$A:$A,A22,Combined_Data!$B:$B,"Liver")</f>
        <v>0</v>
      </c>
      <c r="C22" s="5">
        <f>SUMIFS(Combined_Data!$F:$F,Combined_Data!$A:$A,A22,Combined_Data!$B:$B,"Spleen")</f>
        <v>0</v>
      </c>
      <c r="D22" s="5" t="str">
        <f t="shared" si="0"/>
        <v/>
      </c>
      <c r="E22" s="9" t="str">
        <f t="shared" si="1"/>
        <v>Control/ND</v>
      </c>
      <c r="F22" s="9" t="str">
        <f t="shared" si="2"/>
        <v>Control</v>
      </c>
    </row>
    <row r="23" spans="1:6">
      <c r="A23" s="9" t="s">
        <v>63</v>
      </c>
      <c r="B23" s="5">
        <f>SUMIFS(Combined_Data!$F:$F,Combined_Data!$A:$A,A23,Combined_Data!$B:$B,"Liver")</f>
        <v>0</v>
      </c>
      <c r="C23" s="5">
        <f>SUMIFS(Combined_Data!$F:$F,Combined_Data!$A:$A,A23,Combined_Data!$B:$B,"Spleen")</f>
        <v>0</v>
      </c>
      <c r="D23" s="5" t="str">
        <f t="shared" si="0"/>
        <v/>
      </c>
      <c r="E23" s="9" t="str">
        <f t="shared" si="1"/>
        <v>Control/ND</v>
      </c>
      <c r="F23" s="9" t="str">
        <f t="shared" si="2"/>
        <v>Control</v>
      </c>
    </row>
    <row r="24" spans="1:6">
      <c r="A24" s="9" t="s">
        <v>64</v>
      </c>
      <c r="B24" s="5">
        <f>SUMIFS(Combined_Data!$F:$F,Combined_Data!$A:$A,A24,Combined_Data!$B:$B,"Liver")</f>
        <v>0</v>
      </c>
      <c r="C24" s="5">
        <f>SUMIFS(Combined_Data!$F:$F,Combined_Data!$A:$A,A24,Combined_Data!$B:$B,"Spleen")</f>
        <v>0</v>
      </c>
      <c r="D24" s="5" t="str">
        <f t="shared" si="0"/>
        <v/>
      </c>
      <c r="E24" s="9" t="str">
        <f t="shared" si="1"/>
        <v>Control/ND</v>
      </c>
      <c r="F24" s="9" t="str">
        <f t="shared" si="2"/>
        <v>Control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Combined_Data</vt:lpstr>
      <vt:lpstr>Bird_Summary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Tofazzal Md Rakib</cp:lastModifiedBy>
  <dcterms:modified xsi:type="dcterms:W3CDTF">2026-08-20T08:29:39Z</dcterms:modified>
</cp:coreProperties>
</file>